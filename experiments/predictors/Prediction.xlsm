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4.xml" ContentType="application/vnd.openxmlformats-officedocument.drawing+xml"/>
  <Override PartName="/xl/activeX/activeX12.xml" ContentType="application/vnd.ms-office.activeX+xml"/>
  <Override PartName="/xl/activeX/activeX12.bin" ContentType="application/vnd.ms-office.activeX"/>
  <Override PartName="/xl/drawings/drawing5.xml" ContentType="application/vnd.openxmlformats-officedocument.drawing+xml"/>
  <Override PartName="/xl/activeX/activeX13.xml" ContentType="application/vnd.ms-office.activeX+xml"/>
  <Override PartName="/xl/activeX/activeX13.bin" ContentType="application/vnd.ms-office.activeX"/>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C:\Users\Korisnik\Desktop\Faks\Diplomski\Izborni Projekt - Evolucijsko racunarstvo\UOOP-Project\experiments\predictors\"/>
    </mc:Choice>
  </mc:AlternateContent>
  <xr:revisionPtr revIDLastSave="0" documentId="13_ncr:1_{B8BB12CD-52AE-42C1-98D2-E7158B25AEAC}" xr6:coauthVersionLast="47" xr6:coauthVersionMax="47" xr10:uidLastSave="{00000000-0000-0000-0000-000000000000}"/>
  <bookViews>
    <workbookView xWindow="3285" yWindow="-16320" windowWidth="29040" windowHeight="15720" tabRatio="760" activeTab="3" xr2:uid="{00000000-000D-0000-FFFF-FFFF00000000}"/>
  </bookViews>
  <sheets>
    <sheet name="Intro" sheetId="11" r:id="rId1"/>
    <sheet name="HPLC Prediction" sheetId="5" r:id="rId2"/>
    <sheet name="Molecular Weights" sheetId="10" r:id="rId3"/>
    <sheet name="Difficulty (Sheet)" sheetId="1" r:id="rId4"/>
    <sheet name="Difficulty (Detail)" sheetId="3" r:id="rId5"/>
    <sheet name="HPLC Instructions" sheetId="8" r:id="rId6"/>
    <sheet name="Difficult Coupling Instructions" sheetId="4" r:id="rId7"/>
    <sheet name="Parameters" sheetId="9" r:id="rId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23" i="5" l="1"/>
  <c r="V24" i="5" s="1"/>
  <c r="V21" i="5"/>
  <c r="V20" i="5"/>
  <c r="V18" i="5"/>
  <c r="V17" i="5"/>
  <c r="V15" i="5"/>
  <c r="V14" i="5"/>
  <c r="V12" i="5"/>
  <c r="V11" i="5"/>
  <c r="V9" i="5"/>
  <c r="V8" i="5"/>
  <c r="V6" i="5"/>
  <c r="V5" i="5"/>
  <c r="V3" i="5"/>
</calcChain>
</file>

<file path=xl/sharedStrings.xml><?xml version="1.0" encoding="utf-8"?>
<sst xmlns="http://schemas.openxmlformats.org/spreadsheetml/2006/main" count="3940" uniqueCount="1391">
  <si>
    <t>Sequence</t>
  </si>
  <si>
    <t>Difficult couplings predictor</t>
  </si>
  <si>
    <t>If your prediction shows potential problem, try inserting pseudoproline (Ser - based, or Thr - based) in the place of Ser or Thr in the sequence. Exchange Ser for "X" and Thr for "Z" and run the calculation again to see the improvement. Another option is the use of N-substituted amino acids (e.g. ). In this case insert "J" in the sequence.</t>
  </si>
  <si>
    <t>Sequences should be written in one-letter code.</t>
  </si>
  <si>
    <t>The following rules are used in the prediction of difficult sequences: (i) Coupling difficulties begin at residue number five from the carboxy terminus. A pendent peptide chain starts to be prone to aggregation after acquiring its fifth residue and its susceptibility to aggregation declines with the increasing peptide length. (ii) The carboxyterminal six to nine residues dominantly influence the character of the whole sequence.  (iii) Sequence starts being potentially difficult after two or three consecutive potentials have exceeded the value 1.1 and ends with the same number of consecutive potentials being below 0.9. With the higher aggregation potential comes the higher proportion of pendent peptide chains tending to aggregate.  The result is the slower aminoacylation. (iv) In most cases aggregation profiles with seven or more consecutive average potentials greater than 1.1 will cause difficult couplings for the entire sequence (even if the potential drops below 0.9 for the rest of the sequence). (v) Residues more than ten amino acids distant from the carboxy terminus can be coupled without significant problems even if the aggregation profiles show four consecutive values over 1.1 (but do not show strong aggregation in the carboxyterminal decapeptide). (vi) The type of the coupled amino acid contributes significantly to the overall aminoacylation rate. Since prediction of difficult sequences by using the aggregation profile eliminates the effect of random coupling problems, the relative reactivity of a coupled amino acid has to be considered.  This effect is particularly pronounced when slow reacting amino acids are coupled to a difficult sequence. Evaluating "Individual Sequences" will show graphical representation of aggregation potential for amino acids starting from the fifth position in the peptide chain. If it is difficult to associate the point on the graph with the amino acid residue on x axis, point the particular position with the mouse pointer, and the amino acid label will be displayed.  Only sequences containing natural unprotected amino acids can be evaluated correctly since the aggregation parameters are not defined for unnatural building blocks. (Program will use the value of 0.9.) If you want to use this program to evaluate unnatural sequences, replace unnatural building blocks with natural amino acids having similar coupling properties (make a qualified guess).</t>
  </si>
  <si>
    <t>Macro written by M. Lebl based on Krchnak, V., Flegelova, Z., Vagner, J., Int. J.Peptide Protein Res. 42, 450, 1993.</t>
  </si>
  <si>
    <t>Your Excel must have macro capability enabled. See e.g. http://www.ehow.com/how_8160192_enable-excel-macros.html</t>
  </si>
  <si>
    <t xml:space="preserve">Predicts up to 100,000 peptides in one sheet. Just paste your list in the "Sheet Calculation" sheet (or any other new sheet) and click "ctrl + s" (or click the button in the sheet). List of difficulty coefficients will be created and original sequence will be labeled with red and green for difficult and easy couplings. </t>
  </si>
  <si>
    <t>A</t>
  </si>
  <si>
    <t>I</t>
  </si>
  <si>
    <t>D</t>
  </si>
  <si>
    <t>Y</t>
  </si>
  <si>
    <t>N</t>
  </si>
  <si>
    <t>F 0.88</t>
  </si>
  <si>
    <t>D 0.88</t>
  </si>
  <si>
    <t>S 0.88</t>
  </si>
  <si>
    <t>A 0.88</t>
  </si>
  <si>
    <r>
      <t>LKV</t>
    </r>
    <r>
      <rPr>
        <sz val="11"/>
        <color rgb="FF00FF00"/>
        <rFont val="Calibri"/>
        <family val="2"/>
        <scheme val="minor"/>
      </rPr>
      <t>H</t>
    </r>
    <r>
      <rPr>
        <sz val="11"/>
        <rFont val="Calibri"/>
        <family val="2"/>
        <scheme val="minor"/>
      </rPr>
      <t>GFDSA</t>
    </r>
  </si>
  <si>
    <t>Y 0.88</t>
  </si>
  <si>
    <t>I 0.88</t>
  </si>
  <si>
    <t>N 0.88</t>
  </si>
  <si>
    <t>G 0.88</t>
  </si>
  <si>
    <r>
      <t>V</t>
    </r>
    <r>
      <rPr>
        <sz val="11"/>
        <rFont val="Calibri"/>
        <family val="2"/>
        <scheme val="minor"/>
      </rPr>
      <t>QA</t>
    </r>
    <r>
      <rPr>
        <sz val="11"/>
        <color rgb="FFFF0000"/>
        <rFont val="Calibri"/>
        <family val="2"/>
        <scheme val="minor"/>
      </rPr>
      <t>A</t>
    </r>
    <r>
      <rPr>
        <sz val="11"/>
        <rFont val="Calibri"/>
        <family val="2"/>
        <scheme val="minor"/>
      </rPr>
      <t>IDYING</t>
    </r>
  </si>
  <si>
    <t>S</t>
  </si>
  <si>
    <t>E</t>
  </si>
  <si>
    <t>R</t>
  </si>
  <si>
    <t>F</t>
  </si>
  <si>
    <t>T</t>
  </si>
  <si>
    <t>K</t>
  </si>
  <si>
    <t>L</t>
  </si>
  <si>
    <t>H</t>
  </si>
  <si>
    <t>M</t>
  </si>
  <si>
    <t>X-OH</t>
  </si>
  <si>
    <t>X-NH2</t>
  </si>
  <si>
    <t>Ac-X</t>
  </si>
  <si>
    <t>NH2-X</t>
  </si>
  <si>
    <t>X</t>
  </si>
  <si>
    <t>Meek 7.4</t>
  </si>
  <si>
    <t>Meek 2.1</t>
  </si>
  <si>
    <t>Ala</t>
  </si>
  <si>
    <t>C</t>
  </si>
  <si>
    <t>Cys</t>
  </si>
  <si>
    <t>Asp</t>
  </si>
  <si>
    <t>Glu</t>
  </si>
  <si>
    <t>Phe</t>
  </si>
  <si>
    <t>G</t>
  </si>
  <si>
    <t>Gly</t>
  </si>
  <si>
    <t>His</t>
  </si>
  <si>
    <t>−2.4</t>
  </si>
  <si>
    <t>Ile</t>
  </si>
  <si>
    <t>Lys</t>
  </si>
  <si>
    <t>−1.0</t>
  </si>
  <si>
    <t>−0.3</t>
  </si>
  <si>
    <t>−2.3</t>
  </si>
  <si>
    <t>Leu</t>
  </si>
  <si>
    <t>Met</t>
  </si>
  <si>
    <t>Asn</t>
  </si>
  <si>
    <t>−0.5</t>
  </si>
  <si>
    <t>P</t>
  </si>
  <si>
    <t>Pro</t>
  </si>
  <si>
    <t>Q</t>
  </si>
  <si>
    <t>Gln</t>
  </si>
  <si>
    <t>Arg</t>
  </si>
  <si>
    <t>−1.1</t>
  </si>
  <si>
    <t>Ser</t>
  </si>
  <si>
    <t>−0.8</t>
  </si>
  <si>
    <t>Thr</t>
  </si>
  <si>
    <t>V</t>
  </si>
  <si>
    <t>Val</t>
  </si>
  <si>
    <t>W</t>
  </si>
  <si>
    <t>Trp</t>
  </si>
  <si>
    <t>Tyr</t>
  </si>
  <si>
    <t>amino</t>
  </si>
  <si>
    <t>cooh</t>
  </si>
  <si>
    <t>conh2</t>
  </si>
  <si>
    <t>Ac</t>
  </si>
  <si>
    <t>tyrso3</t>
  </si>
  <si>
    <t>pyGlu</t>
  </si>
  <si>
    <r>
      <t>CASDER</t>
    </r>
    <r>
      <rPr>
        <sz val="11"/>
        <color rgb="FFFF0000"/>
        <rFont val="Calibri"/>
        <family val="2"/>
        <scheme val="minor"/>
      </rPr>
      <t>T</t>
    </r>
    <r>
      <rPr>
        <sz val="11"/>
        <rFont val="Calibri"/>
        <family val="2"/>
        <scheme val="minor"/>
      </rPr>
      <t>FAAADSA</t>
    </r>
  </si>
  <si>
    <t>YGGFL</t>
  </si>
  <si>
    <t>HPLC retention times predictor</t>
  </si>
  <si>
    <t>Macro written by M. Lebl based on Tripet B. et al. J. Chromatography A, 1141, 212 (2007).</t>
  </si>
  <si>
    <t>If you are interested only in one peptide, or want to see graphical representation of the profile, paste its sequence in the "Individual Peptides" sheet (or any other new sheet) and press "ctrl + i" (or click the button in the sheet). To compare more peptides, use always new sheet.</t>
  </si>
  <si>
    <t>Sequences should be written in one-letter code. You can use lower case or upper case letters, the algorithm does not know the difference between D and L amino acids. Diastereomeric peptides are eluted very close to each other, but there is no guarantee that you can say which one is which (If they separate at all).</t>
  </si>
  <si>
    <t>Predicts HPLC of up to 100 peptides in one sheet. Just paste your list in the first column of the "HPLC Prediction" sheet and click the button in the sheet. List of retention times will be created, sorted and theoretical HPLC trace will be generated.</t>
  </si>
  <si>
    <t>There is no algorithm which would precisely predict HPLC trace of your peptide on your column. However, this algorithm will show you very reliably the relative retention of the "new" peptide in comparison to your "standart" peptide, which you have analyzed on the same column using the same gradient earlier.</t>
  </si>
  <si>
    <t>Make sure that the carboxy terminus is defined by selecting (or unselecting) "C-Terminal Amide" checkbox. If you are comparing acetylated peptides, check the checkbox "N-Terminus Acetylated".</t>
  </si>
  <si>
    <t>AAA</t>
  </si>
  <si>
    <t>DSAF</t>
  </si>
  <si>
    <t xml:space="preserve">The algorithm will generate the "ideal" chromatogram using "ideal" gradient of 0.2% TFA in acetonitrile. It cannot know what column and gradient will be used by you and therefore the retention times will be only relative to your situation. It does not make sense to predict HPLC of just one peptide, it will show it eluted at 30 minutes.  If you analyze peptide with no retention, it will be eluted at the dead volume of the fictional column, which is 1 minute. </t>
  </si>
  <si>
    <t>ASDERTFGYIPLKMN</t>
  </si>
  <si>
    <t>FFFF</t>
  </si>
  <si>
    <t>AAAAA</t>
  </si>
  <si>
    <t>Fmoc-Ala</t>
  </si>
  <si>
    <t>Fmoc-Cys(Trt)</t>
  </si>
  <si>
    <t>Fmoc-Asp(OBut)</t>
  </si>
  <si>
    <t>Fmoc-Glu(OBut)</t>
  </si>
  <si>
    <t>Fmoc-Phe</t>
  </si>
  <si>
    <t>Fmoc-Gly</t>
  </si>
  <si>
    <t>Fmoc-His(Trt)</t>
  </si>
  <si>
    <t>Fmoc-Ile</t>
  </si>
  <si>
    <t>Fmoc-Lys(Boc)</t>
  </si>
  <si>
    <t>Fmoc-Leu</t>
  </si>
  <si>
    <t>Fmoc-Met</t>
  </si>
  <si>
    <t>Fmoc-Asn(Trt)</t>
  </si>
  <si>
    <t>Fmoc-Pro</t>
  </si>
  <si>
    <t>Fmoc-Gln(Trt)</t>
  </si>
  <si>
    <t>Fmoc-Arg(Pbf)</t>
  </si>
  <si>
    <t>Fmoc-Ser(But)</t>
  </si>
  <si>
    <t>Fmoc-Thr(But)</t>
  </si>
  <si>
    <t>Fmoc-Val</t>
  </si>
  <si>
    <t>Fmoc-Trp(Boc)</t>
  </si>
  <si>
    <t>Fmoc-Tyr(But)</t>
  </si>
  <si>
    <t>Nle</t>
  </si>
  <si>
    <t>Fmoc-Nle</t>
  </si>
  <si>
    <t>AAAASSDS</t>
  </si>
  <si>
    <t>AA-3-Letter</t>
  </si>
  <si>
    <t>Fmoc-AA</t>
  </si>
  <si>
    <t>MW Fmoc</t>
  </si>
  <si>
    <t>MW AA</t>
  </si>
  <si>
    <t>AA-1-Letter</t>
  </si>
  <si>
    <t>Ala-Gly-Pro-Tyr-His-Arg</t>
  </si>
  <si>
    <t>H 0.88</t>
  </si>
  <si>
    <t>K 0.88</t>
  </si>
  <si>
    <t>L 0.88</t>
  </si>
  <si>
    <r>
      <t>A</t>
    </r>
    <r>
      <rPr>
        <sz val="11"/>
        <color rgb="FF00FF00"/>
        <rFont val="Calibri"/>
        <family val="2"/>
        <scheme val="minor"/>
      </rPr>
      <t>S</t>
    </r>
    <r>
      <rPr>
        <sz val="11"/>
        <rFont val="Calibri"/>
        <family val="2"/>
        <scheme val="minor"/>
      </rPr>
      <t>DFGHKL</t>
    </r>
  </si>
  <si>
    <t>AQWSAQWSA</t>
  </si>
  <si>
    <t>Peptide Companion - Excel Version</t>
  </si>
  <si>
    <t>For any questions feel free to contact us at michallebl@gmail.com</t>
  </si>
  <si>
    <t>At this moment our spreadsheet can:</t>
  </si>
  <si>
    <t>Calculate molecular weights of peptides</t>
  </si>
  <si>
    <t>Predict difficult couplings of peptides to be synthesized</t>
  </si>
  <si>
    <t xml:space="preserve">Predict peptide HPLC retention times </t>
  </si>
  <si>
    <t>This spreadsheet will be always free. It can be downloaded from: http://www.spyderinstitute.com/software.html</t>
  </si>
  <si>
    <t xml:space="preserve">There is a program called Peptide Companion (written by Michal Lebl, Viktor Krchnak, and Jiri Lebl in 1992) installed on many peptide chemist's computers across laboratories everywhere. However, upgrades to new versions of Windows have made it unusable. Therefore we are including this macro based peptide chemist friendly tool which you can use if you have Excel installed on your computer.  </t>
  </si>
  <si>
    <r>
      <t>This spreadsheet version is intended to become a community project. If you feel that something should be added to this spreadsheet, just ask and we will try to implement it. Or even better, i</t>
    </r>
    <r>
      <rPr>
        <b/>
        <sz val="11"/>
        <color theme="1"/>
        <rFont val="Calibri"/>
        <family val="2"/>
        <scheme val="minor"/>
      </rPr>
      <t>f you already have written something which may be beneficial to other peptide enthusiasts</t>
    </r>
    <r>
      <rPr>
        <sz val="11"/>
        <color theme="1"/>
        <rFont val="Calibri"/>
        <family val="2"/>
        <scheme val="minor"/>
      </rPr>
      <t>, let us know, send it to us and we will incorporate it to the spreadsheet collection. The newest version of the project will be always available on our website. You will always be credited for your work.</t>
    </r>
  </si>
  <si>
    <t>ASDF</t>
  </si>
  <si>
    <t>Parameters are hidden and cannot be changed</t>
  </si>
  <si>
    <t>FYEPQIITTDNTF</t>
  </si>
  <si>
    <t>PFNNWFLLTNGSTLV</t>
  </si>
  <si>
    <t>WNIGEQKSILSPLYA</t>
  </si>
  <si>
    <t>TENLTKEGATTCGYL</t>
  </si>
  <si>
    <t>VYPFMWGGAYCF</t>
  </si>
  <si>
    <t>AAFKSLFGGMSW</t>
  </si>
  <si>
    <t>YCGPWKLDAAW</t>
  </si>
  <si>
    <t>ALWDVPAPKEV</t>
  </si>
  <si>
    <t>LMLLEDLGVDHSLLD</t>
  </si>
  <si>
    <t>VTSNTEMFFLFSNFD</t>
  </si>
  <si>
    <t>CTITGTMGHFILARC</t>
  </si>
  <si>
    <t>TLGASAWLMWLSEIE</t>
  </si>
  <si>
    <t>QVTLDDAAAADELFS</t>
  </si>
  <si>
    <t>EGQLLLLDAQTLESI</t>
  </si>
  <si>
    <t>LRSRVFFDWFDAMGV</t>
  </si>
  <si>
    <t>SNQQLSLAQQLDIDV</t>
  </si>
  <si>
    <t>DEFFFMEMNTRLQVE</t>
  </si>
  <si>
    <t>GMQMRLTFARSLIND</t>
  </si>
  <si>
    <t>MIDEALFDAEEKMEK</t>
  </si>
  <si>
    <t>ENLRFFASLYAGATA</t>
  </si>
  <si>
    <t>NSGFGNAGTNNSGFF</t>
  </si>
  <si>
    <t>LAMEGLAAFFFESTF</t>
  </si>
  <si>
    <t>CGCGGYLWSMLKRVE</t>
  </si>
  <si>
    <t>AGGAGGAGGIGAGGA</t>
  </si>
  <si>
    <t>LPWKTTEQDLKEYFS</t>
  </si>
  <si>
    <t>SKDSTYSLSSTLTLS</t>
  </si>
  <si>
    <t>QEFFWDANDIY</t>
  </si>
  <si>
    <t>EFFWDANDI</t>
  </si>
  <si>
    <t>TAEIRLMCTKTYLDT</t>
  </si>
  <si>
    <t>IQTLTLFLTLGGVLL</t>
  </si>
  <si>
    <t>WVDGNCEDIPHVNEFSAIDLFE</t>
  </si>
  <si>
    <t>C 0,97</t>
  </si>
  <si>
    <t>A 0,84</t>
  </si>
  <si>
    <t>S 0,81</t>
  </si>
  <si>
    <t>D 0,88</t>
  </si>
  <si>
    <t>E 1,02</t>
  </si>
  <si>
    <t>R 1,07</t>
  </si>
  <si>
    <t>T 1,25</t>
  </si>
  <si>
    <t>F 1,14</t>
  </si>
  <si>
    <t>A 1,07</t>
  </si>
  <si>
    <t>L 1,15</t>
  </si>
  <si>
    <t>K 1,12</t>
  </si>
  <si>
    <t>V 0,98</t>
  </si>
  <si>
    <t>H 0,77</t>
  </si>
  <si>
    <t>G 0,91</t>
  </si>
  <si>
    <t>V 1,36</t>
  </si>
  <si>
    <t>Q 1,14</t>
  </si>
  <si>
    <t>A 1,20</t>
  </si>
  <si>
    <t>A 1,25</t>
  </si>
  <si>
    <t>I 1,18</t>
  </si>
  <si>
    <t>D 1,02</t>
  </si>
  <si>
    <t>A 0,91</t>
  </si>
  <si>
    <t>S 0,77</t>
  </si>
  <si>
    <t>D 0,89</t>
  </si>
  <si>
    <t>F 1,01</t>
  </si>
  <si>
    <t>T 1,02</t>
  </si>
  <si>
    <t>Y 0,95</t>
  </si>
  <si>
    <t>A 0,97</t>
  </si>
  <si>
    <t>S 1,05</t>
  </si>
  <si>
    <t>Q 1,18</t>
  </si>
  <si>
    <t>G 1,16</t>
  </si>
  <si>
    <t>L 1,32</t>
  </si>
  <si>
    <t>V 1,34</t>
  </si>
  <si>
    <t>A 1,18</t>
  </si>
  <si>
    <t>S 1,12</t>
  </si>
  <si>
    <r>
      <t>TYASQG</t>
    </r>
    <r>
      <rPr>
        <sz val="11"/>
        <color rgb="FFFF0000"/>
        <rFont val="Calibri"/>
        <family val="2"/>
        <scheme val="minor"/>
      </rPr>
      <t>LV</t>
    </r>
    <r>
      <rPr>
        <sz val="11"/>
        <rFont val="Calibri"/>
        <family val="2"/>
        <scheme val="minor"/>
      </rPr>
      <t>ASIKNF</t>
    </r>
  </si>
  <si>
    <t>F 0,87</t>
  </si>
  <si>
    <t>Y 0,97</t>
  </si>
  <si>
    <t>E 1,06</t>
  </si>
  <si>
    <t>P 1,07</t>
  </si>
  <si>
    <t>Q 1,25</t>
  </si>
  <si>
    <t>I 1,22</t>
  </si>
  <si>
    <t>I 1,10</t>
  </si>
  <si>
    <t>T 1,01</t>
  </si>
  <si>
    <t>T 0,99</t>
  </si>
  <si>
    <t>T 0.88</t>
  </si>
  <si>
    <r>
      <t>FYEP</t>
    </r>
    <r>
      <rPr>
        <sz val="11"/>
        <color rgb="FFFF0000"/>
        <rFont val="Calibri"/>
        <family val="2"/>
        <scheme val="minor"/>
      </rPr>
      <t>QI</t>
    </r>
    <r>
      <rPr>
        <sz val="11"/>
        <rFont val="Calibri"/>
        <family val="2"/>
        <scheme val="minor"/>
      </rPr>
      <t>ITTDNTF</t>
    </r>
  </si>
  <si>
    <t>K 1,10</t>
  </si>
  <si>
    <t>M 1,06</t>
  </si>
  <si>
    <t>F 1,19</t>
  </si>
  <si>
    <t>D 1,17</t>
  </si>
  <si>
    <t>A 1,27</t>
  </si>
  <si>
    <t>Y 1,22</t>
  </si>
  <si>
    <t>V 1,13</t>
  </si>
  <si>
    <t>N 0,91</t>
  </si>
  <si>
    <t>T 0,95</t>
  </si>
  <si>
    <t>F 0,93</t>
  </si>
  <si>
    <r>
      <t>KMFD</t>
    </r>
    <r>
      <rPr>
        <sz val="11"/>
        <color rgb="FFFF0000"/>
        <rFont val="Calibri"/>
        <family val="2"/>
        <scheme val="minor"/>
      </rPr>
      <t>AY</t>
    </r>
    <r>
      <rPr>
        <sz val="11"/>
        <rFont val="Calibri"/>
        <family val="2"/>
        <scheme val="minor"/>
      </rPr>
      <t>VNTFSSTF</t>
    </r>
  </si>
  <si>
    <t>L 1,14</t>
  </si>
  <si>
    <t>W 1,05</t>
  </si>
  <si>
    <t>E 1,21</t>
  </si>
  <si>
    <t>I 1,34</t>
  </si>
  <si>
    <t>Q 0.88</t>
  </si>
  <si>
    <t>V 0.88</t>
  </si>
  <si>
    <r>
      <t>A</t>
    </r>
    <r>
      <rPr>
        <sz val="11"/>
        <rFont val="Calibri"/>
        <family val="2"/>
        <scheme val="minor"/>
      </rPr>
      <t>LW</t>
    </r>
    <r>
      <rPr>
        <sz val="11"/>
        <color rgb="FFFF0000"/>
        <rFont val="Calibri"/>
        <family val="2"/>
        <scheme val="minor"/>
      </rPr>
      <t>EI</t>
    </r>
    <r>
      <rPr>
        <sz val="11"/>
        <rFont val="Calibri"/>
        <family val="2"/>
        <scheme val="minor"/>
      </rPr>
      <t>Q</t>
    </r>
    <r>
      <rPr>
        <sz val="11"/>
        <color rgb="FFFF0000"/>
        <rFont val="Calibri"/>
        <family val="2"/>
        <scheme val="minor"/>
      </rPr>
      <t>QV</t>
    </r>
    <r>
      <rPr>
        <sz val="11"/>
        <rFont val="Calibri"/>
        <family val="2"/>
        <scheme val="minor"/>
      </rPr>
      <t>V</t>
    </r>
  </si>
  <si>
    <t>S 0,99</t>
  </si>
  <si>
    <t>N 0,99</t>
  </si>
  <si>
    <t>W 1,15</t>
  </si>
  <si>
    <t>T 1,11</t>
  </si>
  <si>
    <t>T 1,23</t>
  </si>
  <si>
    <t>S 1,22</t>
  </si>
  <si>
    <t>V 1,31</t>
  </si>
  <si>
    <t>Q 1,20</t>
  </si>
  <si>
    <t>V 1,20</t>
  </si>
  <si>
    <t>E 1,16</t>
  </si>
  <si>
    <t>Y 1,17</t>
  </si>
  <si>
    <r>
      <t>SNWT</t>
    </r>
    <r>
      <rPr>
        <sz val="11"/>
        <color rgb="FFFF0000"/>
        <rFont val="Calibri"/>
        <family val="2"/>
        <scheme val="minor"/>
      </rPr>
      <t>TSV</t>
    </r>
    <r>
      <rPr>
        <sz val="11"/>
        <rFont val="Calibri"/>
        <family val="2"/>
        <scheme val="minor"/>
      </rPr>
      <t>QVEYLQIT</t>
    </r>
  </si>
  <si>
    <t>V 1,35</t>
  </si>
  <si>
    <t>T 1,31</t>
  </si>
  <si>
    <t>F 1,22</t>
  </si>
  <si>
    <t>V 1,09</t>
  </si>
  <si>
    <t>N 0,88</t>
  </si>
  <si>
    <t>I 0,90</t>
  </si>
  <si>
    <t>S 0,83</t>
  </si>
  <si>
    <t>R 0,85</t>
  </si>
  <si>
    <t>L 1,30</t>
  </si>
  <si>
    <r>
      <t>VTF</t>
    </r>
    <r>
      <rPr>
        <sz val="11"/>
        <rFont val="Calibri"/>
        <family val="2"/>
        <scheme val="minor"/>
      </rPr>
      <t>VNISRSE</t>
    </r>
    <r>
      <rPr>
        <sz val="11"/>
        <color rgb="FFFF0000"/>
        <rFont val="Calibri"/>
        <family val="2"/>
        <scheme val="minor"/>
      </rPr>
      <t>LQTI</t>
    </r>
    <r>
      <rPr>
        <sz val="11"/>
        <rFont val="Calibri"/>
        <family val="2"/>
        <scheme val="minor"/>
      </rPr>
      <t>V</t>
    </r>
  </si>
  <si>
    <t>S 1,04</t>
  </si>
  <si>
    <t>P 1,21</t>
  </si>
  <si>
    <t>K 1,29</t>
  </si>
  <si>
    <t>V 1,24</t>
  </si>
  <si>
    <t>T 1,03</t>
  </si>
  <si>
    <t>I 1,04</t>
  </si>
  <si>
    <t>D 0,94</t>
  </si>
  <si>
    <t>C 1,16</t>
  </si>
  <si>
    <t>S 1,16</t>
  </si>
  <si>
    <t>L 1,16</t>
  </si>
  <si>
    <t>F 1,12</t>
  </si>
  <si>
    <t>C 0.88</t>
  </si>
  <si>
    <r>
      <t>S</t>
    </r>
    <r>
      <rPr>
        <sz val="11"/>
        <color rgb="FFFF0000"/>
        <rFont val="Calibri"/>
        <family val="2"/>
        <scheme val="minor"/>
      </rPr>
      <t>PKV</t>
    </r>
    <r>
      <rPr>
        <sz val="11"/>
        <rFont val="Calibri"/>
        <family val="2"/>
        <scheme val="minor"/>
      </rPr>
      <t>TIDCSLFVCSN</t>
    </r>
  </si>
  <si>
    <t>L 1,12</t>
  </si>
  <si>
    <t>F 1,05</t>
  </si>
  <si>
    <t>N 1,10</t>
  </si>
  <si>
    <t>K 1,22</t>
  </si>
  <si>
    <t>F 1,10</t>
  </si>
  <si>
    <t>G 1,02</t>
  </si>
  <si>
    <t>A 1,00</t>
  </si>
  <si>
    <t>I 0,97</t>
  </si>
  <si>
    <t>S 0,89</t>
  </si>
  <si>
    <t>S 1,07</t>
  </si>
  <si>
    <t>E 0.88</t>
  </si>
  <si>
    <r>
      <t>LFN</t>
    </r>
    <r>
      <rPr>
        <sz val="11"/>
        <color rgb="FFFF0000"/>
        <rFont val="Calibri"/>
        <family val="2"/>
        <scheme val="minor"/>
      </rPr>
      <t>K</t>
    </r>
    <r>
      <rPr>
        <sz val="11"/>
        <rFont val="Calibri"/>
        <family val="2"/>
        <scheme val="minor"/>
      </rPr>
      <t>FGAISSSLQEI</t>
    </r>
  </si>
  <si>
    <t>P 0,86</t>
  </si>
  <si>
    <t>F 1,02</t>
  </si>
  <si>
    <t>N 1,04</t>
  </si>
  <si>
    <t>N 1,09</t>
  </si>
  <si>
    <t>W 1,13</t>
  </si>
  <si>
    <t>L 1,07</t>
  </si>
  <si>
    <t>L 0,96</t>
  </si>
  <si>
    <t>N 0,96</t>
  </si>
  <si>
    <t>G 1,12</t>
  </si>
  <si>
    <t>V 1,43</t>
  </si>
  <si>
    <t>D 1,27</t>
  </si>
  <si>
    <t>V 1,50</t>
  </si>
  <si>
    <t>L 1,28</t>
  </si>
  <si>
    <t>N 1,18</t>
  </si>
  <si>
    <t>V 1,18</t>
  </si>
  <si>
    <t>S 1,15</t>
  </si>
  <si>
    <t>A 1,17</t>
  </si>
  <si>
    <t>T 1,09</t>
  </si>
  <si>
    <r>
      <t>VDVLV</t>
    </r>
    <r>
      <rPr>
        <sz val="11"/>
        <rFont val="Calibri"/>
        <family val="2"/>
        <scheme val="minor"/>
      </rPr>
      <t>NVSATNIQNL</t>
    </r>
  </si>
  <si>
    <t>T 1,08</t>
  </si>
  <si>
    <t>Y 0,98</t>
  </si>
  <si>
    <t>L 1,11</t>
  </si>
  <si>
    <t>E 0,97</t>
  </si>
  <si>
    <t>G 1,10</t>
  </si>
  <si>
    <t>S 1,29</t>
  </si>
  <si>
    <t>V 1,38</t>
  </si>
  <si>
    <t>R 1,26</t>
  </si>
  <si>
    <r>
      <t>TYLEG</t>
    </r>
    <r>
      <rPr>
        <sz val="11"/>
        <color rgb="FFFF0000"/>
        <rFont val="Calibri"/>
        <family val="2"/>
        <scheme val="minor"/>
      </rPr>
      <t>SVRVV</t>
    </r>
    <r>
      <rPr>
        <sz val="11"/>
        <rFont val="Calibri"/>
        <family val="2"/>
        <scheme val="minor"/>
      </rPr>
      <t>TTF</t>
    </r>
  </si>
  <si>
    <t>E 1,09</t>
  </si>
  <si>
    <t>V 1,00</t>
  </si>
  <si>
    <t>G 0,89</t>
  </si>
  <si>
    <t>H 0,95</t>
  </si>
  <si>
    <t>D 1,13</t>
  </si>
  <si>
    <t>L 1,23</t>
  </si>
  <si>
    <t>M 0.88</t>
  </si>
  <si>
    <r>
      <t>EVGHTD</t>
    </r>
    <r>
      <rPr>
        <sz val="11"/>
        <color rgb="FFFF0000"/>
        <rFont val="Calibri"/>
        <family val="2"/>
        <scheme val="minor"/>
      </rPr>
      <t>L</t>
    </r>
    <r>
      <rPr>
        <sz val="11"/>
        <rFont val="Calibri"/>
        <family val="2"/>
        <scheme val="minor"/>
      </rPr>
      <t>MAAY</t>
    </r>
  </si>
  <si>
    <t>L 1,35</t>
  </si>
  <si>
    <t>L 1,13</t>
  </si>
  <si>
    <t>P 0.88</t>
  </si>
  <si>
    <r>
      <t>ETL</t>
    </r>
    <r>
      <rPr>
        <sz val="11"/>
        <rFont val="Calibri"/>
        <family val="2"/>
        <scheme val="minor"/>
      </rPr>
      <t>GVLVPHV</t>
    </r>
  </si>
  <si>
    <t>W 1,08</t>
  </si>
  <si>
    <t>T 1,04</t>
  </si>
  <si>
    <t>F 1,07</t>
  </si>
  <si>
    <t>G 1,13</t>
  </si>
  <si>
    <t>A 1,21</t>
  </si>
  <si>
    <t>A 1,03</t>
  </si>
  <si>
    <t>L 0,98</t>
  </si>
  <si>
    <t>Q 1,01</t>
  </si>
  <si>
    <t>I 1,08</t>
  </si>
  <si>
    <r>
      <t>WTFG</t>
    </r>
    <r>
      <rPr>
        <sz val="11"/>
        <color rgb="FFFF0000"/>
        <rFont val="Calibri"/>
        <family val="2"/>
        <scheme val="minor"/>
      </rPr>
      <t>A</t>
    </r>
    <r>
      <rPr>
        <sz val="11"/>
        <rFont val="Calibri"/>
        <family val="2"/>
        <scheme val="minor"/>
      </rPr>
      <t>G</t>
    </r>
    <r>
      <rPr>
        <sz val="11"/>
        <color rgb="FFFF0000"/>
        <rFont val="Calibri"/>
        <family val="2"/>
        <scheme val="minor"/>
      </rPr>
      <t>A</t>
    </r>
    <r>
      <rPr>
        <sz val="11"/>
        <rFont val="Calibri"/>
        <family val="2"/>
        <scheme val="minor"/>
      </rPr>
      <t>ALQIPFAM</t>
    </r>
  </si>
  <si>
    <t>H 0,79</t>
  </si>
  <si>
    <t>F 0,82</t>
  </si>
  <si>
    <t>D 0,77</t>
  </si>
  <si>
    <t>G 0,86</t>
  </si>
  <si>
    <t>Q 1,05</t>
  </si>
  <si>
    <t>Q 0,95</t>
  </si>
  <si>
    <t>G 1,14</t>
  </si>
  <si>
    <t>E 1,12</t>
  </si>
  <si>
    <t>V 1,21</t>
  </si>
  <si>
    <t>P 1,18</t>
  </si>
  <si>
    <t>V 1,32</t>
  </si>
  <si>
    <r>
      <t>H</t>
    </r>
    <r>
      <rPr>
        <sz val="11"/>
        <rFont val="Calibri"/>
        <family val="2"/>
        <scheme val="minor"/>
      </rPr>
      <t>F</t>
    </r>
    <r>
      <rPr>
        <sz val="11"/>
        <color rgb="FF00FF00"/>
        <rFont val="Calibri"/>
        <family val="2"/>
        <scheme val="minor"/>
      </rPr>
      <t>D</t>
    </r>
    <r>
      <rPr>
        <sz val="11"/>
        <rFont val="Calibri"/>
        <family val="2"/>
        <scheme val="minor"/>
      </rPr>
      <t>GQQGE</t>
    </r>
    <r>
      <rPr>
        <sz val="11"/>
        <color rgb="FFFF0000"/>
        <rFont val="Calibri"/>
        <family val="2"/>
        <scheme val="minor"/>
      </rPr>
      <t>V</t>
    </r>
    <r>
      <rPr>
        <sz val="11"/>
        <rFont val="Calibri"/>
        <family val="2"/>
        <scheme val="minor"/>
      </rPr>
      <t>P</t>
    </r>
    <r>
      <rPr>
        <sz val="11"/>
        <color rgb="FFFF0000"/>
        <rFont val="Calibri"/>
        <family val="2"/>
        <scheme val="minor"/>
      </rPr>
      <t>V</t>
    </r>
    <r>
      <rPr>
        <sz val="11"/>
        <rFont val="Calibri"/>
        <family val="2"/>
        <scheme val="minor"/>
      </rPr>
      <t>SIIN</t>
    </r>
  </si>
  <si>
    <t>H 0,96</t>
  </si>
  <si>
    <t>G 0,92</t>
  </si>
  <si>
    <t>T 0,90</t>
  </si>
  <si>
    <t>C 0,89</t>
  </si>
  <si>
    <t>E 0,94</t>
  </si>
  <si>
    <t>R 0,88</t>
  </si>
  <si>
    <t>S 1,14</t>
  </si>
  <si>
    <t>E 1,22</t>
  </si>
  <si>
    <t>A 1,36</t>
  </si>
  <si>
    <t>G 1,23</t>
  </si>
  <si>
    <t>V 1,29</t>
  </si>
  <si>
    <r>
      <t>HGTCERS</t>
    </r>
    <r>
      <rPr>
        <sz val="11"/>
        <color rgb="FFFF0000"/>
        <rFont val="Calibri"/>
        <family val="2"/>
        <scheme val="minor"/>
      </rPr>
      <t>EAGV</t>
    </r>
    <r>
      <rPr>
        <sz val="11"/>
        <rFont val="Calibri"/>
        <family val="2"/>
        <scheme val="minor"/>
      </rPr>
      <t>CVST</t>
    </r>
  </si>
  <si>
    <t>S 1,21</t>
  </si>
  <si>
    <t>K 1,34</t>
  </si>
  <si>
    <t>T 1,22</t>
  </si>
  <si>
    <t>A 1,16</t>
  </si>
  <si>
    <t>L 1,22</t>
  </si>
  <si>
    <t>I 1,17</t>
  </si>
  <si>
    <t>N 0,98</t>
  </si>
  <si>
    <r>
      <t>T</t>
    </r>
    <r>
      <rPr>
        <sz val="11"/>
        <color rgb="FFFF0000"/>
        <rFont val="Calibri"/>
        <family val="2"/>
        <scheme val="minor"/>
      </rPr>
      <t>SKTTV</t>
    </r>
    <r>
      <rPr>
        <sz val="11"/>
        <rFont val="Calibri"/>
        <family val="2"/>
        <scheme val="minor"/>
      </rPr>
      <t>AS</t>
    </r>
    <r>
      <rPr>
        <sz val="11"/>
        <color rgb="FFFF0000"/>
        <rFont val="Calibri"/>
        <family val="2"/>
        <scheme val="minor"/>
      </rPr>
      <t>L</t>
    </r>
    <r>
      <rPr>
        <sz val="11"/>
        <rFont val="Calibri"/>
        <family val="2"/>
        <scheme val="minor"/>
      </rPr>
      <t>INTLND</t>
    </r>
  </si>
  <si>
    <t>G 1,00</t>
  </si>
  <si>
    <t>D 1,15</t>
  </si>
  <si>
    <t>D 1,25</t>
  </si>
  <si>
    <t>T 1,47</t>
  </si>
  <si>
    <t>V 1,40</t>
  </si>
  <si>
    <t>I 1,21</t>
  </si>
  <si>
    <t>V 1,16</t>
  </si>
  <si>
    <t>Q 0,94</t>
  </si>
  <si>
    <r>
      <t>GD</t>
    </r>
    <r>
      <rPr>
        <sz val="11"/>
        <color rgb="FFFF0000"/>
        <rFont val="Calibri"/>
        <family val="2"/>
        <scheme val="minor"/>
      </rPr>
      <t>DTVI</t>
    </r>
    <r>
      <rPr>
        <sz val="11"/>
        <rFont val="Calibri"/>
        <family val="2"/>
        <scheme val="minor"/>
      </rPr>
      <t>EVQGYKSVN</t>
    </r>
  </si>
  <si>
    <t>G 1,18</t>
  </si>
  <si>
    <t>E 1,25</t>
  </si>
  <si>
    <t>T 1,16</t>
  </si>
  <si>
    <t>F 1,06</t>
  </si>
  <si>
    <t>V 1,11</t>
  </si>
  <si>
    <t>T 0,92</t>
  </si>
  <si>
    <t>H 0,93</t>
  </si>
  <si>
    <t>S 1,03</t>
  </si>
  <si>
    <t>K 0,98</t>
  </si>
  <si>
    <t>G 0,98</t>
  </si>
  <si>
    <t>L 1,04</t>
  </si>
  <si>
    <t>R 0.88</t>
  </si>
  <si>
    <r>
      <t>G</t>
    </r>
    <r>
      <rPr>
        <sz val="11"/>
        <color rgb="FFFF0000"/>
        <rFont val="Calibri"/>
        <family val="2"/>
        <scheme val="minor"/>
      </rPr>
      <t>E</t>
    </r>
    <r>
      <rPr>
        <sz val="11"/>
        <rFont val="Calibri"/>
        <family val="2"/>
        <scheme val="minor"/>
      </rPr>
      <t>TFVTHSKGLYRKC</t>
    </r>
  </si>
  <si>
    <t>W 1,09</t>
  </si>
  <si>
    <t>N 1,05</t>
  </si>
  <si>
    <t>I 1,12</t>
  </si>
  <si>
    <t>G 0,94</t>
  </si>
  <si>
    <t>Q 1,11</t>
  </si>
  <si>
    <t>K 1,09</t>
  </si>
  <si>
    <t>S 0,88</t>
  </si>
  <si>
    <t>I 0,99</t>
  </si>
  <si>
    <t>L 0,89</t>
  </si>
  <si>
    <t>S 0,92</t>
  </si>
  <si>
    <t>E 1,15</t>
  </si>
  <si>
    <t>N 1,15</t>
  </si>
  <si>
    <t>T 1,14</t>
  </si>
  <si>
    <t>K 1,14</t>
  </si>
  <si>
    <t>E 1,11</t>
  </si>
  <si>
    <t>G 1,11</t>
  </si>
  <si>
    <t>A 1,11</t>
  </si>
  <si>
    <t>T 1,06</t>
  </si>
  <si>
    <t>T 1,07</t>
  </si>
  <si>
    <t>K 1,30</t>
  </si>
  <si>
    <t>Y 1,16</t>
  </si>
  <si>
    <t>N 1,20</t>
  </si>
  <si>
    <t>V 1,22</t>
  </si>
  <si>
    <t>Q 0,89</t>
  </si>
  <si>
    <t>A 0,83</t>
  </si>
  <si>
    <t>F 0,72</t>
  </si>
  <si>
    <t>G 0,56</t>
  </si>
  <si>
    <t>R 0,62</t>
  </si>
  <si>
    <r>
      <t>KA</t>
    </r>
    <r>
      <rPr>
        <sz val="11"/>
        <rFont val="Calibri"/>
        <family val="2"/>
        <scheme val="minor"/>
      </rPr>
      <t>YN</t>
    </r>
    <r>
      <rPr>
        <sz val="11"/>
        <color rgb="FFFF0000"/>
        <rFont val="Calibri"/>
        <family val="2"/>
        <scheme val="minor"/>
      </rPr>
      <t>V</t>
    </r>
    <r>
      <rPr>
        <sz val="11"/>
        <rFont val="Calibri"/>
        <family val="2"/>
        <scheme val="minor"/>
      </rPr>
      <t>TQA</t>
    </r>
    <r>
      <rPr>
        <sz val="11"/>
        <color rgb="FF00FF00"/>
        <rFont val="Calibri"/>
        <family val="2"/>
        <scheme val="minor"/>
      </rPr>
      <t>FGRRG</t>
    </r>
    <r>
      <rPr>
        <sz val="11"/>
        <rFont val="Calibri"/>
        <family val="2"/>
        <scheme val="minor"/>
      </rPr>
      <t>PE</t>
    </r>
  </si>
  <si>
    <t>A 1,28</t>
  </si>
  <si>
    <t>I 1,38</t>
  </si>
  <si>
    <t>D 1,12</t>
  </si>
  <si>
    <r>
      <t>AEI</t>
    </r>
    <r>
      <rPr>
        <sz val="11"/>
        <rFont val="Calibri"/>
        <family val="2"/>
        <scheme val="minor"/>
      </rPr>
      <t>VD</t>
    </r>
    <r>
      <rPr>
        <sz val="11"/>
        <color rgb="FFFF0000"/>
        <rFont val="Calibri"/>
        <family val="2"/>
        <scheme val="minor"/>
      </rPr>
      <t>TVSA</t>
    </r>
    <r>
      <rPr>
        <sz val="11"/>
        <rFont val="Calibri"/>
        <family val="2"/>
        <scheme val="minor"/>
      </rPr>
      <t>LVY</t>
    </r>
  </si>
  <si>
    <t>V 0,93</t>
  </si>
  <si>
    <t>P 0,84</t>
  </si>
  <si>
    <t>Y 0,84</t>
  </si>
  <si>
    <t>S 0,75</t>
  </si>
  <si>
    <t>Q 0,78</t>
  </si>
  <si>
    <t>P 0,83</t>
  </si>
  <si>
    <t>S 1,00</t>
  </si>
  <si>
    <r>
      <t>VPY</t>
    </r>
    <r>
      <rPr>
        <sz val="11"/>
        <color rgb="FF00FF00"/>
        <rFont val="Calibri"/>
        <family val="2"/>
        <scheme val="minor"/>
      </rPr>
      <t>SQ</t>
    </r>
    <r>
      <rPr>
        <sz val="11"/>
        <rFont val="Calibri"/>
        <family val="2"/>
        <scheme val="minor"/>
      </rPr>
      <t>APSGFKY</t>
    </r>
  </si>
  <si>
    <t>H 0,84</t>
  </si>
  <si>
    <t>P 1,03</t>
  </si>
  <si>
    <t>H 1,22</t>
  </si>
  <si>
    <t>E 1,32</t>
  </si>
  <si>
    <t>I 1,32</t>
  </si>
  <si>
    <t>I 1,23</t>
  </si>
  <si>
    <t>Y 1,13</t>
  </si>
  <si>
    <r>
      <t>HP</t>
    </r>
    <r>
      <rPr>
        <sz val="11"/>
        <color rgb="FFFF0000"/>
        <rFont val="Calibri"/>
        <family val="2"/>
        <scheme val="minor"/>
      </rPr>
      <t>HEII</t>
    </r>
    <r>
      <rPr>
        <sz val="11"/>
        <rFont val="Calibri"/>
        <family val="2"/>
        <scheme val="minor"/>
      </rPr>
      <t>LYYYELY</t>
    </r>
  </si>
  <si>
    <t>Y 1,09</t>
  </si>
  <si>
    <t>Q 1,13</t>
  </si>
  <si>
    <t>D 1,33</t>
  </si>
  <si>
    <t>V 1,33</t>
  </si>
  <si>
    <t>Y 1,24</t>
  </si>
  <si>
    <t>V 1,03</t>
  </si>
  <si>
    <t>H 0,82</t>
  </si>
  <si>
    <t>A 0,93</t>
  </si>
  <si>
    <r>
      <t>IYQ</t>
    </r>
    <r>
      <rPr>
        <sz val="11"/>
        <color rgb="FFFF0000"/>
        <rFont val="Calibri"/>
        <family val="2"/>
        <scheme val="minor"/>
      </rPr>
      <t>DVY</t>
    </r>
    <r>
      <rPr>
        <sz val="11"/>
        <rFont val="Calibri"/>
        <family val="2"/>
        <scheme val="minor"/>
      </rPr>
      <t>AVHAPTSL</t>
    </r>
  </si>
  <si>
    <t>V 1,07</t>
  </si>
  <si>
    <t>Y 0,92</t>
  </si>
  <si>
    <t>F 0,97</t>
  </si>
  <si>
    <t>M 1,02</t>
  </si>
  <si>
    <t>W 1,02</t>
  </si>
  <si>
    <t>G 1,03</t>
  </si>
  <si>
    <t>G 1,09</t>
  </si>
  <si>
    <t>H 0,74</t>
  </si>
  <si>
    <t>S 0,78</t>
  </si>
  <si>
    <t>S 0,80</t>
  </si>
  <si>
    <t>F 1,16</t>
  </si>
  <si>
    <t>G 1,26</t>
  </si>
  <si>
    <t>G 1,42</t>
  </si>
  <si>
    <t>V 1,52</t>
  </si>
  <si>
    <t>A 1,39</t>
  </si>
  <si>
    <r>
      <t>HS</t>
    </r>
    <r>
      <rPr>
        <sz val="11"/>
        <rFont val="Calibri"/>
        <family val="2"/>
        <scheme val="minor"/>
      </rPr>
      <t>SDF</t>
    </r>
    <r>
      <rPr>
        <sz val="11"/>
        <color rgb="FFFF0000"/>
        <rFont val="Calibri"/>
        <family val="2"/>
        <scheme val="minor"/>
      </rPr>
      <t>GGVAI</t>
    </r>
    <r>
      <rPr>
        <sz val="11"/>
        <rFont val="Calibri"/>
        <family val="2"/>
        <scheme val="minor"/>
      </rPr>
      <t>IKY</t>
    </r>
  </si>
  <si>
    <t>A 0,99</t>
  </si>
  <si>
    <t>M 0,85</t>
  </si>
  <si>
    <t>T 1,10</t>
  </si>
  <si>
    <t>D 1,23</t>
  </si>
  <si>
    <t>A 1,42</t>
  </si>
  <si>
    <t>D 1,37</t>
  </si>
  <si>
    <r>
      <t>FTAMDST</t>
    </r>
    <r>
      <rPr>
        <sz val="11"/>
        <color rgb="FFFF0000"/>
        <rFont val="Calibri"/>
        <family val="2"/>
        <scheme val="minor"/>
      </rPr>
      <t>DADVV</t>
    </r>
    <r>
      <rPr>
        <sz val="11"/>
        <rFont val="Calibri"/>
        <family val="2"/>
        <scheme val="minor"/>
      </rPr>
      <t>IY</t>
    </r>
  </si>
  <si>
    <t>A 1,15</t>
  </si>
  <si>
    <t>A 1,12</t>
  </si>
  <si>
    <t>K 1,02</t>
  </si>
  <si>
    <t>L 1,01</t>
  </si>
  <si>
    <t>F 0,91</t>
  </si>
  <si>
    <t>W 0.88</t>
  </si>
  <si>
    <t>Y 0,86</t>
  </si>
  <si>
    <t>C 0,90</t>
  </si>
  <si>
    <t>P 0,88</t>
  </si>
  <si>
    <t>W 1,10</t>
  </si>
  <si>
    <t>K 1,16</t>
  </si>
  <si>
    <t>L 1,10</t>
  </si>
  <si>
    <t>E 1,08</t>
  </si>
  <si>
    <t>W 0,98</t>
  </si>
  <si>
    <t>F 0,88</t>
  </si>
  <si>
    <t>D 0,72</t>
  </si>
  <si>
    <t>E 0,82</t>
  </si>
  <si>
    <t>N 0,69</t>
  </si>
  <si>
    <t>H 0,73</t>
  </si>
  <si>
    <t>P 0,80</t>
  </si>
  <si>
    <r>
      <t>ETWFF</t>
    </r>
    <r>
      <rPr>
        <sz val="11"/>
        <color rgb="FF00FF00"/>
        <rFont val="Calibri"/>
        <family val="2"/>
        <scheme val="minor"/>
      </rPr>
      <t>D</t>
    </r>
    <r>
      <rPr>
        <sz val="11"/>
        <rFont val="Calibri"/>
        <family val="2"/>
        <scheme val="minor"/>
      </rPr>
      <t>E</t>
    </r>
    <r>
      <rPr>
        <sz val="11"/>
        <color rgb="FF00FF00"/>
        <rFont val="Calibri"/>
        <family val="2"/>
        <scheme val="minor"/>
      </rPr>
      <t>NH</t>
    </r>
    <r>
      <rPr>
        <sz val="11"/>
        <rFont val="Calibri"/>
        <family val="2"/>
        <scheme val="minor"/>
      </rPr>
      <t>PYRTW</t>
    </r>
  </si>
  <si>
    <t>E 0,95</t>
  </si>
  <si>
    <t>C 0,78</t>
  </si>
  <si>
    <t>T 0,80</t>
  </si>
  <si>
    <t>M 0,71</t>
  </si>
  <si>
    <t>P 0,70</t>
  </si>
  <si>
    <t>P 0,74</t>
  </si>
  <si>
    <r>
      <t>E</t>
    </r>
    <r>
      <rPr>
        <sz val="11"/>
        <color rgb="FF00FF00"/>
        <rFont val="Calibri"/>
        <family val="2"/>
        <scheme val="minor"/>
      </rPr>
      <t>C</t>
    </r>
    <r>
      <rPr>
        <sz val="11"/>
        <rFont val="Calibri"/>
        <family val="2"/>
        <scheme val="minor"/>
      </rPr>
      <t>T</t>
    </r>
    <r>
      <rPr>
        <sz val="11"/>
        <color rgb="FF00FF00"/>
        <rFont val="Calibri"/>
        <family val="2"/>
        <scheme val="minor"/>
      </rPr>
      <t>MPP</t>
    </r>
    <r>
      <rPr>
        <sz val="11"/>
        <rFont val="Calibri"/>
        <family val="2"/>
        <scheme val="minor"/>
      </rPr>
      <t>LSFR</t>
    </r>
  </si>
  <si>
    <t>M 0,91</t>
  </si>
  <si>
    <t>Y 0,88</t>
  </si>
  <si>
    <t>L 0,78</t>
  </si>
  <si>
    <t>D 0,81</t>
  </si>
  <si>
    <t>R 0,84</t>
  </si>
  <si>
    <t>N 0,97</t>
  </si>
  <si>
    <t>D 1,04</t>
  </si>
  <si>
    <t>A 1,23</t>
  </si>
  <si>
    <r>
      <t>MY</t>
    </r>
    <r>
      <rPr>
        <sz val="11"/>
        <color rgb="FF00FF00"/>
        <rFont val="Calibri"/>
        <family val="2"/>
        <scheme val="minor"/>
      </rPr>
      <t>L</t>
    </r>
    <r>
      <rPr>
        <sz val="11"/>
        <rFont val="Calibri"/>
        <family val="2"/>
        <scheme val="minor"/>
      </rPr>
      <t>DRND</t>
    </r>
    <r>
      <rPr>
        <sz val="11"/>
        <color rgb="FFFF0000"/>
        <rFont val="Calibri"/>
        <family val="2"/>
        <scheme val="minor"/>
      </rPr>
      <t>A</t>
    </r>
    <r>
      <rPr>
        <sz val="11"/>
        <rFont val="Calibri"/>
        <family val="2"/>
        <scheme val="minor"/>
      </rPr>
      <t>GEAISF</t>
    </r>
  </si>
  <si>
    <t>A 1,19</t>
  </si>
  <si>
    <t>L 0,97</t>
  </si>
  <si>
    <t>W 1,00</t>
  </si>
  <si>
    <t>D 0,85</t>
  </si>
  <si>
    <t>V 0,99</t>
  </si>
  <si>
    <t>P 0,85</t>
  </si>
  <si>
    <t>L 1,08</t>
  </si>
  <si>
    <t>T 1,19</t>
  </si>
  <si>
    <t>G 1,20</t>
  </si>
  <si>
    <t>E 1,28</t>
  </si>
  <si>
    <t>Y 1,20</t>
  </si>
  <si>
    <t>L 1,02</t>
  </si>
  <si>
    <t>V 0,94</t>
  </si>
  <si>
    <r>
      <t>LTD</t>
    </r>
    <r>
      <rPr>
        <sz val="11"/>
        <color rgb="FFFF0000"/>
        <rFont val="Calibri"/>
        <family val="2"/>
        <scheme val="minor"/>
      </rPr>
      <t>HV</t>
    </r>
    <r>
      <rPr>
        <sz val="11"/>
        <rFont val="Calibri"/>
        <family val="2"/>
        <scheme val="minor"/>
      </rPr>
      <t>VG</t>
    </r>
    <r>
      <rPr>
        <sz val="11"/>
        <color rgb="FFFF0000"/>
        <rFont val="Calibri"/>
        <family val="2"/>
        <scheme val="minor"/>
      </rPr>
      <t>E</t>
    </r>
    <r>
      <rPr>
        <sz val="11"/>
        <rFont val="Calibri"/>
        <family val="2"/>
        <scheme val="minor"/>
      </rPr>
      <t>YLV</t>
    </r>
    <r>
      <rPr>
        <sz val="11"/>
        <color rgb="FF00FF00"/>
        <rFont val="Calibri"/>
        <family val="2"/>
        <scheme val="minor"/>
      </rPr>
      <t>LSP</t>
    </r>
    <r>
      <rPr>
        <sz val="11"/>
        <rFont val="Calibri"/>
        <family val="2"/>
        <scheme val="minor"/>
      </rPr>
      <t>Q</t>
    </r>
  </si>
  <si>
    <t>L 1,17</t>
  </si>
  <si>
    <t>L 0,99</t>
  </si>
  <si>
    <t>E 1,10</t>
  </si>
  <si>
    <t>D 1,01</t>
  </si>
  <si>
    <t>D 0,87</t>
  </si>
  <si>
    <t>H 0,87</t>
  </si>
  <si>
    <t>N 1,17</t>
  </si>
  <si>
    <t>V 1,06</t>
  </si>
  <si>
    <t>T 0,93</t>
  </si>
  <si>
    <t>M 0,83</t>
  </si>
  <si>
    <t>R 0,83</t>
  </si>
  <si>
    <t>E 0,98</t>
  </si>
  <si>
    <t>P 0,79</t>
  </si>
  <si>
    <t>T 1,00</t>
  </si>
  <si>
    <r>
      <t>NVTQMREL</t>
    </r>
    <r>
      <rPr>
        <sz val="11"/>
        <color rgb="FF00FF00"/>
        <rFont val="Calibri"/>
        <family val="2"/>
        <scheme val="minor"/>
      </rPr>
      <t>P</t>
    </r>
    <r>
      <rPr>
        <sz val="11"/>
        <rFont val="Calibri"/>
        <family val="2"/>
        <scheme val="minor"/>
      </rPr>
      <t>TLDSAV</t>
    </r>
  </si>
  <si>
    <t>V 1,15</t>
  </si>
  <si>
    <t>S 1,01</t>
  </si>
  <si>
    <t>M 1,11</t>
  </si>
  <si>
    <t>F 1,00</t>
  </si>
  <si>
    <t>L 1,00</t>
  </si>
  <si>
    <t>F 0,89</t>
  </si>
  <si>
    <t>I 1,14</t>
  </si>
  <si>
    <t>Y 0,81</t>
  </si>
  <si>
    <t>P 0,82</t>
  </si>
  <si>
    <t>S 0,97</t>
  </si>
  <si>
    <t>H 0,99</t>
  </si>
  <si>
    <r>
      <t>IVNYPASH</t>
    </r>
    <r>
      <rPr>
        <sz val="11"/>
        <color rgb="FFFF0000"/>
        <rFont val="Calibri"/>
        <family val="2"/>
        <scheme val="minor"/>
      </rPr>
      <t>T</t>
    </r>
    <r>
      <rPr>
        <sz val="11"/>
        <rFont val="Calibri"/>
        <family val="2"/>
        <scheme val="minor"/>
      </rPr>
      <t>TLGVQD</t>
    </r>
  </si>
  <si>
    <t>T 1,17</t>
  </si>
  <si>
    <t>T 0,96</t>
  </si>
  <si>
    <t>M 1,05</t>
  </si>
  <si>
    <t>G 1,06</t>
  </si>
  <si>
    <t>H 1,17</t>
  </si>
  <si>
    <t>F 1,13</t>
  </si>
  <si>
    <t>I 1,13</t>
  </si>
  <si>
    <t>Y 0,96</t>
  </si>
  <si>
    <t>E 1,17</t>
  </si>
  <si>
    <t>K 1,21</t>
  </si>
  <si>
    <t>R 1,00</t>
  </si>
  <si>
    <t>L 0,85</t>
  </si>
  <si>
    <t>K 0,84</t>
  </si>
  <si>
    <t>R 0,92</t>
  </si>
  <si>
    <t>W 0,92</t>
  </si>
  <si>
    <r>
      <t>YGE</t>
    </r>
    <r>
      <rPr>
        <sz val="11"/>
        <color rgb="FFFF0000"/>
        <rFont val="Calibri"/>
        <family val="2"/>
        <scheme val="minor"/>
      </rPr>
      <t>K</t>
    </r>
    <r>
      <rPr>
        <sz val="11"/>
        <rFont val="Calibri"/>
        <family val="2"/>
        <scheme val="minor"/>
      </rPr>
      <t>RVLK</t>
    </r>
    <r>
      <rPr>
        <sz val="11"/>
        <color rgb="FF00FF00"/>
        <rFont val="Calibri"/>
        <family val="2"/>
        <scheme val="minor"/>
      </rPr>
      <t>P</t>
    </r>
    <r>
      <rPr>
        <sz val="11"/>
        <rFont val="Calibri"/>
        <family val="2"/>
        <scheme val="minor"/>
      </rPr>
      <t>RWMDAR</t>
    </r>
  </si>
  <si>
    <t>Q 1,07</t>
  </si>
  <si>
    <t>R 0,94</t>
  </si>
  <si>
    <t>Y 1,07</t>
  </si>
  <si>
    <t>G 0,90</t>
  </si>
  <si>
    <t>E 0,80</t>
  </si>
  <si>
    <r>
      <t>LSTQVRYLGEE</t>
    </r>
    <r>
      <rPr>
        <sz val="11"/>
        <color rgb="FF00FF00"/>
        <rFont val="Calibri"/>
        <family val="2"/>
        <scheme val="minor"/>
      </rPr>
      <t>GS</t>
    </r>
    <r>
      <rPr>
        <sz val="11"/>
        <rFont val="Calibri"/>
        <family val="2"/>
        <scheme val="minor"/>
      </rPr>
      <t>T</t>
    </r>
    <r>
      <rPr>
        <sz val="11"/>
        <color rgb="FF00FF00"/>
        <rFont val="Calibri"/>
        <family val="2"/>
        <scheme val="minor"/>
      </rPr>
      <t>P</t>
    </r>
  </si>
  <si>
    <t>W 0,77</t>
  </si>
  <si>
    <t>E 0,77</t>
  </si>
  <si>
    <t>G 0,81</t>
  </si>
  <si>
    <t>S 0,87</t>
  </si>
  <si>
    <t>P 0,93</t>
  </si>
  <si>
    <t>N 1,08</t>
  </si>
  <si>
    <t>Y 0,90</t>
  </si>
  <si>
    <t>W 0,90</t>
  </si>
  <si>
    <r>
      <t>WE</t>
    </r>
    <r>
      <rPr>
        <sz val="11"/>
        <rFont val="Calibri"/>
        <family val="2"/>
        <scheme val="minor"/>
      </rPr>
      <t>GSPNKYWNSSTAT</t>
    </r>
  </si>
  <si>
    <t>G 1,04</t>
  </si>
  <si>
    <t>S 1,08</t>
  </si>
  <si>
    <t>A 1,14</t>
  </si>
  <si>
    <t>W 1,11</t>
  </si>
  <si>
    <t>L 1,05</t>
  </si>
  <si>
    <t>M 1,03</t>
  </si>
  <si>
    <t>W 1,12</t>
  </si>
  <si>
    <t>A 1,10</t>
  </si>
  <si>
    <t>C 1,09</t>
  </si>
  <si>
    <t>L 1,21</t>
  </si>
  <si>
    <t>A 1,02</t>
  </si>
  <si>
    <r>
      <t>ASCL</t>
    </r>
    <r>
      <rPr>
        <sz val="11"/>
        <color rgb="FFFF0000"/>
        <rFont val="Calibri"/>
        <family val="2"/>
        <scheme val="minor"/>
      </rPr>
      <t>L</t>
    </r>
    <r>
      <rPr>
        <sz val="11"/>
        <rFont val="Calibri"/>
        <family val="2"/>
        <scheme val="minor"/>
      </rPr>
      <t>Q</t>
    </r>
    <r>
      <rPr>
        <sz val="11"/>
        <color rgb="FFFF0000"/>
        <rFont val="Calibri"/>
        <family val="2"/>
        <scheme val="minor"/>
      </rPr>
      <t>TA</t>
    </r>
    <r>
      <rPr>
        <sz val="11"/>
        <rFont val="Calibri"/>
        <family val="2"/>
        <scheme val="minor"/>
      </rPr>
      <t>ISALEGD</t>
    </r>
  </si>
  <si>
    <t>V 0,90</t>
  </si>
  <si>
    <t>S 0,76</t>
  </si>
  <si>
    <t>R 1,01</t>
  </si>
  <si>
    <t>D 1,08</t>
  </si>
  <si>
    <t>F 1,18</t>
  </si>
  <si>
    <t>V 1,10</t>
  </si>
  <si>
    <t>E 0,91</t>
  </si>
  <si>
    <t>G 0,85</t>
  </si>
  <si>
    <t>M 0,92</t>
  </si>
  <si>
    <r>
      <t>V</t>
    </r>
    <r>
      <rPr>
        <sz val="11"/>
        <color rgb="FF00FF00"/>
        <rFont val="Calibri"/>
        <family val="2"/>
        <scheme val="minor"/>
      </rPr>
      <t>S</t>
    </r>
    <r>
      <rPr>
        <sz val="11"/>
        <rFont val="Calibri"/>
        <family val="2"/>
        <scheme val="minor"/>
      </rPr>
      <t>NRDFVEGMSGGTW</t>
    </r>
  </si>
  <si>
    <t>F 1,29</t>
  </si>
  <si>
    <t>T 1,13</t>
  </si>
  <si>
    <t>A 1,04</t>
  </si>
  <si>
    <t>I 1,01</t>
  </si>
  <si>
    <t>K 0,85</t>
  </si>
  <si>
    <t>S 1,10</t>
  </si>
  <si>
    <r>
      <t>F</t>
    </r>
    <r>
      <rPr>
        <sz val="11"/>
        <rFont val="Calibri"/>
        <family val="2"/>
        <scheme val="minor"/>
      </rPr>
      <t>TAIKPSLGLINRWG</t>
    </r>
  </si>
  <si>
    <t>K 1,20</t>
  </si>
  <si>
    <t>Y 0,93</t>
  </si>
  <si>
    <t>V 0,97</t>
  </si>
  <si>
    <t>S 0,86</t>
  </si>
  <si>
    <t>Q 0,86</t>
  </si>
  <si>
    <t>A 1,05</t>
  </si>
  <si>
    <t>S 1,13</t>
  </si>
  <si>
    <r>
      <t>E</t>
    </r>
    <r>
      <rPr>
        <sz val="11"/>
        <rFont val="Calibri"/>
        <family val="2"/>
        <scheme val="minor"/>
      </rPr>
      <t>KCYVSQPALSS</t>
    </r>
    <r>
      <rPr>
        <sz val="11"/>
        <color rgb="FFFF0000"/>
        <rFont val="Calibri"/>
        <family val="2"/>
        <scheme val="minor"/>
      </rPr>
      <t>A</t>
    </r>
    <r>
      <rPr>
        <sz val="11"/>
        <rFont val="Calibri"/>
        <family val="2"/>
        <scheme val="minor"/>
      </rPr>
      <t>IA</t>
    </r>
  </si>
  <si>
    <t>A 1,26</t>
  </si>
  <si>
    <t>D 1,31</t>
  </si>
  <si>
    <t>L 1,31</t>
  </si>
  <si>
    <t>V 1,05</t>
  </si>
  <si>
    <t>D 0,92</t>
  </si>
  <si>
    <t>G 0,93</t>
  </si>
  <si>
    <t>I 1,15</t>
  </si>
  <si>
    <r>
      <t>AADLV</t>
    </r>
    <r>
      <rPr>
        <sz val="11"/>
        <rFont val="Calibri"/>
        <family val="2"/>
        <scheme val="minor"/>
      </rPr>
      <t>LVDGRIESLL</t>
    </r>
  </si>
  <si>
    <t>G 0,76</t>
  </si>
  <si>
    <t>Q 0,87</t>
  </si>
  <si>
    <t>S 0,85</t>
  </si>
  <si>
    <t>S 0,84</t>
  </si>
  <si>
    <t>F 0,90</t>
  </si>
  <si>
    <t>Y 0,91</t>
  </si>
  <si>
    <t>D 0,76</t>
  </si>
  <si>
    <r>
      <t>G</t>
    </r>
    <r>
      <rPr>
        <sz val="11"/>
        <rFont val="Calibri"/>
        <family val="2"/>
        <scheme val="minor"/>
      </rPr>
      <t>GQSSFYS</t>
    </r>
    <r>
      <rPr>
        <sz val="11"/>
        <color rgb="FF00FF00"/>
        <rFont val="Calibri"/>
        <family val="2"/>
        <scheme val="minor"/>
      </rPr>
      <t>D</t>
    </r>
    <r>
      <rPr>
        <sz val="11"/>
        <rFont val="Calibri"/>
        <family val="2"/>
        <scheme val="minor"/>
      </rPr>
      <t>WYQPAC</t>
    </r>
  </si>
  <si>
    <t>D 0,57</t>
  </si>
  <si>
    <t>P 0,67</t>
  </si>
  <si>
    <t>R 1,13</t>
  </si>
  <si>
    <t>S 1,35</t>
  </si>
  <si>
    <t>M 1,34</t>
  </si>
  <si>
    <t>I 1,16</t>
  </si>
  <si>
    <t>I 1,20</t>
  </si>
  <si>
    <t>P 1,12</t>
  </si>
  <si>
    <r>
      <t>DP</t>
    </r>
    <r>
      <rPr>
        <sz val="11"/>
        <rFont val="Calibri"/>
        <family val="2"/>
        <scheme val="minor"/>
      </rPr>
      <t>GR</t>
    </r>
    <r>
      <rPr>
        <sz val="11"/>
        <color rgb="FFFF0000"/>
        <rFont val="Calibri"/>
        <family val="2"/>
        <scheme val="minor"/>
      </rPr>
      <t>SM</t>
    </r>
    <r>
      <rPr>
        <sz val="11"/>
        <rFont val="Calibri"/>
        <family val="2"/>
        <scheme val="minor"/>
      </rPr>
      <t>IVIDP</t>
    </r>
    <r>
      <rPr>
        <sz val="11"/>
        <color rgb="FFFF0000"/>
        <rFont val="Calibri"/>
        <family val="2"/>
        <scheme val="minor"/>
      </rPr>
      <t>V</t>
    </r>
    <r>
      <rPr>
        <sz val="11"/>
        <rFont val="Calibri"/>
        <family val="2"/>
        <scheme val="minor"/>
      </rPr>
      <t>VTD</t>
    </r>
  </si>
  <si>
    <t>C 1,25</t>
  </si>
  <si>
    <t>D 1,16</t>
  </si>
  <si>
    <t>L 1,39</t>
  </si>
  <si>
    <t>I 1,37</t>
  </si>
  <si>
    <t>D 1,18</t>
  </si>
  <si>
    <t>V 0,92</t>
  </si>
  <si>
    <t>Y 0,69</t>
  </si>
  <si>
    <t>D 0,71</t>
  </si>
  <si>
    <r>
      <t>C</t>
    </r>
    <r>
      <rPr>
        <sz val="11"/>
        <rFont val="Calibri"/>
        <family val="2"/>
        <scheme val="minor"/>
      </rPr>
      <t>D</t>
    </r>
    <r>
      <rPr>
        <sz val="11"/>
        <color rgb="FFFF0000"/>
        <rFont val="Calibri"/>
        <family val="2"/>
        <scheme val="minor"/>
      </rPr>
      <t>LVI</t>
    </r>
    <r>
      <rPr>
        <sz val="11"/>
        <rFont val="Calibri"/>
        <family val="2"/>
        <scheme val="minor"/>
      </rPr>
      <t>D</t>
    </r>
    <r>
      <rPr>
        <sz val="11"/>
        <color rgb="FFFF0000"/>
        <rFont val="Calibri"/>
        <family val="2"/>
        <scheme val="minor"/>
      </rPr>
      <t>V</t>
    </r>
    <r>
      <rPr>
        <sz val="11"/>
        <rFont val="Calibri"/>
        <family val="2"/>
        <scheme val="minor"/>
      </rPr>
      <t>V</t>
    </r>
    <r>
      <rPr>
        <sz val="11"/>
        <color rgb="FF00FF00"/>
        <rFont val="Calibri"/>
        <family val="2"/>
        <scheme val="minor"/>
      </rPr>
      <t>YD</t>
    </r>
    <r>
      <rPr>
        <sz val="11"/>
        <rFont val="Calibri"/>
        <family val="2"/>
        <scheme val="minor"/>
      </rPr>
      <t>GPDLA</t>
    </r>
  </si>
  <si>
    <t>M 1,35</t>
  </si>
  <si>
    <t>T 1,39</t>
  </si>
  <si>
    <t>A 1,32</t>
  </si>
  <si>
    <t>A 1,29</t>
  </si>
  <si>
    <t>G 1,38</t>
  </si>
  <si>
    <t>A 1,44</t>
  </si>
  <si>
    <t>L 1,40</t>
  </si>
  <si>
    <t>V 1,28</t>
  </si>
  <si>
    <r>
      <t>MTAVAAGALV</t>
    </r>
    <r>
      <rPr>
        <sz val="11"/>
        <rFont val="Calibri"/>
        <family val="2"/>
        <scheme val="minor"/>
      </rPr>
      <t>VETDS</t>
    </r>
  </si>
  <si>
    <t>S 0,65</t>
  </si>
  <si>
    <t>R 0,87</t>
  </si>
  <si>
    <t>S 0,91</t>
  </si>
  <si>
    <t>T 0,94</t>
  </si>
  <si>
    <t>P 0,87</t>
  </si>
  <si>
    <t>V 1,08</t>
  </si>
  <si>
    <t>G 1,21</t>
  </si>
  <si>
    <t>A 1,40</t>
  </si>
  <si>
    <r>
      <t>GS</t>
    </r>
    <r>
      <rPr>
        <sz val="11"/>
        <rFont val="Calibri"/>
        <family val="2"/>
        <scheme val="minor"/>
      </rPr>
      <t>RSTPVSG</t>
    </r>
    <r>
      <rPr>
        <sz val="11"/>
        <color rgb="FFFF0000"/>
        <rFont val="Calibri"/>
        <family val="2"/>
        <scheme val="minor"/>
      </rPr>
      <t>GAAA</t>
    </r>
    <r>
      <rPr>
        <sz val="11"/>
        <rFont val="Calibri"/>
        <family val="2"/>
        <scheme val="minor"/>
      </rPr>
      <t>LV</t>
    </r>
  </si>
  <si>
    <t>L 0,83</t>
  </si>
  <si>
    <t>L 0,71</t>
  </si>
  <si>
    <t>P 0,71</t>
  </si>
  <si>
    <t>S 0,71</t>
  </si>
  <si>
    <t>Q 0,82</t>
  </si>
  <si>
    <t>D 0,90</t>
  </si>
  <si>
    <t>P 0,94</t>
  </si>
  <si>
    <t>V 1,01</t>
  </si>
  <si>
    <r>
      <t>L</t>
    </r>
    <r>
      <rPr>
        <sz val="11"/>
        <color rgb="FF00FF00"/>
        <rFont val="Calibri"/>
        <family val="2"/>
        <scheme val="minor"/>
      </rPr>
      <t>LPS</t>
    </r>
    <r>
      <rPr>
        <sz val="11"/>
        <rFont val="Calibri"/>
        <family val="2"/>
        <scheme val="minor"/>
      </rPr>
      <t>QDLPLLVPLRA</t>
    </r>
  </si>
  <si>
    <t>H 1,02</t>
  </si>
  <si>
    <t>F 1,31</t>
  </si>
  <si>
    <t>Q 1,32</t>
  </si>
  <si>
    <t>V 1,30</t>
  </si>
  <si>
    <r>
      <t>HETT</t>
    </r>
    <r>
      <rPr>
        <sz val="11"/>
        <color rgb="FFFF0000"/>
        <rFont val="Calibri"/>
        <family val="2"/>
        <scheme val="minor"/>
      </rPr>
      <t>FAQIV</t>
    </r>
    <r>
      <rPr>
        <sz val="11"/>
        <rFont val="Calibri"/>
        <family val="2"/>
        <scheme val="minor"/>
      </rPr>
      <t>AEELGI</t>
    </r>
  </si>
  <si>
    <t>L 1,03</t>
  </si>
  <si>
    <t>D 1,06</t>
  </si>
  <si>
    <t>D 1,20</t>
  </si>
  <si>
    <t>A 1,13</t>
  </si>
  <si>
    <t>M 1,00</t>
  </si>
  <si>
    <t>G 1,08</t>
  </si>
  <si>
    <t>L 1,18</t>
  </si>
  <si>
    <r>
      <t>AMTGL</t>
    </r>
    <r>
      <rPr>
        <sz val="11"/>
        <color rgb="FFFF0000"/>
        <rFont val="Calibri"/>
        <family val="2"/>
        <scheme val="minor"/>
      </rPr>
      <t>SAAA</t>
    </r>
    <r>
      <rPr>
        <sz val="11"/>
        <rFont val="Calibri"/>
        <family val="2"/>
        <scheme val="minor"/>
      </rPr>
      <t>AGLALN</t>
    </r>
  </si>
  <si>
    <t>A 1,35</t>
  </si>
  <si>
    <t>A 1,09</t>
  </si>
  <si>
    <t>W 1,06</t>
  </si>
  <si>
    <t>E 1,00</t>
  </si>
  <si>
    <t>Q 0,90</t>
  </si>
  <si>
    <t>L 0,88</t>
  </si>
  <si>
    <r>
      <t>AELV</t>
    </r>
    <r>
      <rPr>
        <sz val="11"/>
        <rFont val="Calibri"/>
        <family val="2"/>
        <scheme val="minor"/>
      </rPr>
      <t>AWLEQLLSDSV</t>
    </r>
  </si>
  <si>
    <t>A 1,33</t>
  </si>
  <si>
    <t>E 1,29</t>
  </si>
  <si>
    <t>S 1,38</t>
  </si>
  <si>
    <t>V 1,46</t>
  </si>
  <si>
    <t>E 1,26</t>
  </si>
  <si>
    <t>F 1,27</t>
  </si>
  <si>
    <t>L 1,37</t>
  </si>
  <si>
    <t>V 1,48</t>
  </si>
  <si>
    <r>
      <t>AESVVEIEFLVTMI</t>
    </r>
    <r>
      <rPr>
        <sz val="11"/>
        <rFont val="Calibri"/>
        <family val="2"/>
        <scheme val="minor"/>
      </rPr>
      <t>V</t>
    </r>
  </si>
  <si>
    <t>D 1,05</t>
  </si>
  <si>
    <t>G 1,28</t>
  </si>
  <si>
    <t>R 1,21</t>
  </si>
  <si>
    <t>R 1,09</t>
  </si>
  <si>
    <r>
      <t>D</t>
    </r>
    <r>
      <rPr>
        <sz val="11"/>
        <color rgb="FFFF0000"/>
        <rFont val="Calibri"/>
        <family val="2"/>
        <scheme val="minor"/>
      </rPr>
      <t>GRV</t>
    </r>
    <r>
      <rPr>
        <sz val="11"/>
        <rFont val="Calibri"/>
        <family val="2"/>
        <scheme val="minor"/>
      </rPr>
      <t>IVRTR</t>
    </r>
    <r>
      <rPr>
        <sz val="11"/>
        <color rgb="FFFF0000"/>
        <rFont val="Calibri"/>
        <family val="2"/>
        <scheme val="minor"/>
      </rPr>
      <t>LT</t>
    </r>
    <r>
      <rPr>
        <sz val="11"/>
        <rFont val="Calibri"/>
        <family val="2"/>
        <scheme val="minor"/>
      </rPr>
      <t>AKVS</t>
    </r>
  </si>
  <si>
    <t>A 1,24</t>
  </si>
  <si>
    <t>T 1,15</t>
  </si>
  <si>
    <t>G 1,19</t>
  </si>
  <si>
    <r>
      <t>A</t>
    </r>
    <r>
      <rPr>
        <sz val="11"/>
        <rFont val="Calibri"/>
        <family val="2"/>
        <scheme val="minor"/>
      </rPr>
      <t>MTG</t>
    </r>
    <r>
      <rPr>
        <sz val="11"/>
        <color rgb="FFFF0000"/>
        <rFont val="Calibri"/>
        <family val="2"/>
        <scheme val="minor"/>
      </rPr>
      <t>VSAAA</t>
    </r>
    <r>
      <rPr>
        <sz val="11"/>
        <rFont val="Calibri"/>
        <family val="2"/>
        <scheme val="minor"/>
      </rPr>
      <t>AGLALN</t>
    </r>
  </si>
  <si>
    <t>I 1,19</t>
  </si>
  <si>
    <t>Q 0,93</t>
  </si>
  <si>
    <t>L 0,91</t>
  </si>
  <si>
    <t>I 0,83</t>
  </si>
  <si>
    <t>D 0,75</t>
  </si>
  <si>
    <t>R 0,89</t>
  </si>
  <si>
    <t>M 1,23</t>
  </si>
  <si>
    <r>
      <t>LIGQLI</t>
    </r>
    <r>
      <rPr>
        <sz val="11"/>
        <color rgb="FF00FF00"/>
        <rFont val="Calibri"/>
        <family val="2"/>
        <scheme val="minor"/>
      </rPr>
      <t>D</t>
    </r>
    <r>
      <rPr>
        <sz val="11"/>
        <rFont val="Calibri"/>
        <family val="2"/>
        <scheme val="minor"/>
      </rPr>
      <t>RSG</t>
    </r>
    <r>
      <rPr>
        <sz val="11"/>
        <color rgb="FFFF0000"/>
        <rFont val="Calibri"/>
        <family val="2"/>
        <scheme val="minor"/>
      </rPr>
      <t>M</t>
    </r>
    <r>
      <rPr>
        <sz val="11"/>
        <rFont val="Calibri"/>
        <family val="2"/>
        <scheme val="minor"/>
      </rPr>
      <t>AWCI</t>
    </r>
  </si>
  <si>
    <t>A 1,38</t>
  </si>
  <si>
    <t>D 1,03</t>
  </si>
  <si>
    <r>
      <t>AAV</t>
    </r>
    <r>
      <rPr>
        <sz val="11"/>
        <rFont val="Calibri"/>
        <family val="2"/>
        <scheme val="minor"/>
      </rPr>
      <t>SVD</t>
    </r>
    <r>
      <rPr>
        <sz val="11"/>
        <color rgb="FFFF0000"/>
        <rFont val="Calibri"/>
        <family val="2"/>
        <scheme val="minor"/>
      </rPr>
      <t>AL</t>
    </r>
    <r>
      <rPr>
        <sz val="11"/>
        <rFont val="Calibri"/>
        <family val="2"/>
        <scheme val="minor"/>
      </rPr>
      <t>D</t>
    </r>
    <r>
      <rPr>
        <sz val="11"/>
        <color rgb="FFFF0000"/>
        <rFont val="Calibri"/>
        <family val="2"/>
        <scheme val="minor"/>
      </rPr>
      <t>A</t>
    </r>
    <r>
      <rPr>
        <sz val="11"/>
        <rFont val="Calibri"/>
        <family val="2"/>
        <scheme val="minor"/>
      </rPr>
      <t>VEQAD</t>
    </r>
  </si>
  <si>
    <t>L 1,24</t>
  </si>
  <si>
    <t>S 1,06</t>
  </si>
  <si>
    <t>R 0,95</t>
  </si>
  <si>
    <t>V 0,76</t>
  </si>
  <si>
    <t>F 0,50</t>
  </si>
  <si>
    <r>
      <t>A</t>
    </r>
    <r>
      <rPr>
        <sz val="11"/>
        <color rgb="FFFF0000"/>
        <rFont val="Calibri"/>
        <family val="2"/>
        <scheme val="minor"/>
      </rPr>
      <t>EL</t>
    </r>
    <r>
      <rPr>
        <sz val="11"/>
        <rFont val="Calibri"/>
        <family val="2"/>
        <scheme val="minor"/>
      </rPr>
      <t>AS</t>
    </r>
    <r>
      <rPr>
        <sz val="11"/>
        <color rgb="FFFF0000"/>
        <rFont val="Calibri"/>
        <family val="2"/>
        <scheme val="minor"/>
      </rPr>
      <t>V</t>
    </r>
    <r>
      <rPr>
        <sz val="11"/>
        <rFont val="Calibri"/>
        <family val="2"/>
        <scheme val="minor"/>
      </rPr>
      <t>LRL</t>
    </r>
    <r>
      <rPr>
        <sz val="11"/>
        <color rgb="FF00FF00"/>
        <rFont val="Calibri"/>
        <family val="2"/>
        <scheme val="minor"/>
      </rPr>
      <t>VFPPR</t>
    </r>
    <r>
      <rPr>
        <sz val="11"/>
        <rFont val="Calibri"/>
        <family val="2"/>
        <scheme val="minor"/>
      </rPr>
      <t>R</t>
    </r>
  </si>
  <si>
    <t>H 1,07</t>
  </si>
  <si>
    <t>T 1,18</t>
  </si>
  <si>
    <t>Y 1,00</t>
  </si>
  <si>
    <t>S 0,72</t>
  </si>
  <si>
    <t>T 0,85</t>
  </si>
  <si>
    <t>G 1,05</t>
  </si>
  <si>
    <r>
      <t>SGHTYV</t>
    </r>
    <r>
      <rPr>
        <sz val="11"/>
        <color rgb="FF00FF00"/>
        <rFont val="Calibri"/>
        <family val="2"/>
        <scheme val="minor"/>
      </rPr>
      <t>S</t>
    </r>
    <r>
      <rPr>
        <sz val="11"/>
        <rFont val="Calibri"/>
        <family val="2"/>
        <scheme val="minor"/>
      </rPr>
      <t>TPGSALLF</t>
    </r>
  </si>
  <si>
    <t>E 0,96</t>
  </si>
  <si>
    <t>F 1,09</t>
  </si>
  <si>
    <t>G 1,27</t>
  </si>
  <si>
    <t>E 0,89</t>
  </si>
  <si>
    <r>
      <t>EFAR</t>
    </r>
    <r>
      <rPr>
        <sz val="11"/>
        <color rgb="FFFF0000"/>
        <rFont val="Calibri"/>
        <family val="2"/>
        <scheme val="minor"/>
      </rPr>
      <t>GV</t>
    </r>
    <r>
      <rPr>
        <sz val="11"/>
        <rFont val="Calibri"/>
        <family val="2"/>
        <scheme val="minor"/>
      </rPr>
      <t>AFAEERAER</t>
    </r>
  </si>
  <si>
    <t>V 1,23</t>
  </si>
  <si>
    <t>C 1,38</t>
  </si>
  <si>
    <t>A 1,43</t>
  </si>
  <si>
    <t>A 1,46</t>
  </si>
  <si>
    <r>
      <t>AAV</t>
    </r>
    <r>
      <rPr>
        <sz val="11"/>
        <rFont val="Calibri"/>
        <family val="2"/>
        <scheme val="minor"/>
      </rPr>
      <t>AD</t>
    </r>
    <r>
      <rPr>
        <sz val="11"/>
        <color rgb="FFFF0000"/>
        <rFont val="Calibri"/>
        <family val="2"/>
        <scheme val="minor"/>
      </rPr>
      <t>CAAAV</t>
    </r>
    <r>
      <rPr>
        <sz val="11"/>
        <rFont val="Calibri"/>
        <family val="2"/>
        <scheme val="minor"/>
      </rPr>
      <t>AEV</t>
    </r>
    <r>
      <rPr>
        <sz val="11"/>
        <color rgb="FF00FF00"/>
        <rFont val="Calibri"/>
        <family val="2"/>
        <scheme val="minor"/>
      </rPr>
      <t>D</t>
    </r>
    <r>
      <rPr>
        <sz val="11"/>
        <rFont val="Calibri"/>
        <family val="2"/>
        <scheme val="minor"/>
      </rPr>
      <t>D</t>
    </r>
  </si>
  <si>
    <t>P 1,22</t>
  </si>
  <si>
    <t>V 1,41</t>
  </si>
  <si>
    <t>L 1,29</t>
  </si>
  <si>
    <t>T 1,05</t>
  </si>
  <si>
    <t>I 1,06</t>
  </si>
  <si>
    <t>T 0,98</t>
  </si>
  <si>
    <r>
      <t>G</t>
    </r>
    <r>
      <rPr>
        <sz val="11"/>
        <color rgb="FFFF0000"/>
        <rFont val="Calibri"/>
        <family val="2"/>
        <scheme val="minor"/>
      </rPr>
      <t>PVLVY</t>
    </r>
    <r>
      <rPr>
        <sz val="11"/>
        <rFont val="Calibri"/>
        <family val="2"/>
        <scheme val="minor"/>
      </rPr>
      <t>LTITSSLTI</t>
    </r>
  </si>
  <si>
    <t>A 1,34</t>
  </si>
  <si>
    <t>H 1,10</t>
  </si>
  <si>
    <r>
      <t>AAGAA</t>
    </r>
    <r>
      <rPr>
        <sz val="11"/>
        <rFont val="Calibri"/>
        <family val="2"/>
        <scheme val="minor"/>
      </rPr>
      <t>AAA</t>
    </r>
    <r>
      <rPr>
        <sz val="11"/>
        <color rgb="FFFF0000"/>
        <rFont val="Calibri"/>
        <family val="2"/>
        <scheme val="minor"/>
      </rPr>
      <t>A</t>
    </r>
    <r>
      <rPr>
        <sz val="11"/>
        <rFont val="Calibri"/>
        <family val="2"/>
        <scheme val="minor"/>
      </rPr>
      <t>HTAIQQ</t>
    </r>
  </si>
  <si>
    <t>Y 1,01</t>
  </si>
  <si>
    <t>T 1,44</t>
  </si>
  <si>
    <t>A 1,22</t>
  </si>
  <si>
    <t>V 1,27</t>
  </si>
  <si>
    <r>
      <t>GYTGD</t>
    </r>
    <r>
      <rPr>
        <sz val="11"/>
        <color rgb="FFFF0000"/>
        <rFont val="Calibri"/>
        <family val="2"/>
        <scheme val="minor"/>
      </rPr>
      <t>ATAAV</t>
    </r>
    <r>
      <rPr>
        <sz val="11"/>
        <rFont val="Calibri"/>
        <family val="2"/>
        <scheme val="minor"/>
      </rPr>
      <t>IDQIR</t>
    </r>
  </si>
  <si>
    <t>R 0,97</t>
  </si>
  <si>
    <t>W 1,41</t>
  </si>
  <si>
    <t>I 1,47</t>
  </si>
  <si>
    <t>A 1,30</t>
  </si>
  <si>
    <t>V 1,12</t>
  </si>
  <si>
    <r>
      <t>RIND</t>
    </r>
    <r>
      <rPr>
        <sz val="11"/>
        <color rgb="FFFF0000"/>
        <rFont val="Calibri"/>
        <family val="2"/>
        <scheme val="minor"/>
      </rPr>
      <t>LWIAA</t>
    </r>
    <r>
      <rPr>
        <sz val="11"/>
        <rFont val="Calibri"/>
        <family val="2"/>
        <scheme val="minor"/>
      </rPr>
      <t>VAASRA</t>
    </r>
  </si>
  <si>
    <t>Y 1,04</t>
  </si>
  <si>
    <t>C 0,96</t>
  </si>
  <si>
    <t>S 0,79</t>
  </si>
  <si>
    <r>
      <t>TGAYCY</t>
    </r>
    <r>
      <rPr>
        <sz val="11"/>
        <color rgb="FF00FF00"/>
        <rFont val="Calibri"/>
        <family val="2"/>
        <scheme val="minor"/>
      </rPr>
      <t>S</t>
    </r>
    <r>
      <rPr>
        <sz val="11"/>
        <rFont val="Calibri"/>
        <family val="2"/>
        <scheme val="minor"/>
      </rPr>
      <t>L</t>
    </r>
    <r>
      <rPr>
        <sz val="11"/>
        <color rgb="FF00FF00"/>
        <rFont val="Calibri"/>
        <family val="2"/>
        <scheme val="minor"/>
      </rPr>
      <t>S</t>
    </r>
    <r>
      <rPr>
        <sz val="11"/>
        <rFont val="Calibri"/>
        <family val="2"/>
        <scheme val="minor"/>
      </rPr>
      <t>SRYNMV</t>
    </r>
  </si>
  <si>
    <t>W 1,17</t>
  </si>
  <si>
    <t>W 1,21</t>
  </si>
  <si>
    <t>K 1,28</t>
  </si>
  <si>
    <t>L 1,26</t>
  </si>
  <si>
    <t>L 1,48</t>
  </si>
  <si>
    <r>
      <t>AAV</t>
    </r>
    <r>
      <rPr>
        <sz val="11"/>
        <rFont val="Calibri"/>
        <family val="2"/>
        <scheme val="minor"/>
      </rPr>
      <t>W</t>
    </r>
    <r>
      <rPr>
        <sz val="11"/>
        <color rgb="FFFF0000"/>
        <rFont val="Calibri"/>
        <family val="2"/>
        <scheme val="minor"/>
      </rPr>
      <t>WKALLALAV</t>
    </r>
    <r>
      <rPr>
        <sz val="11"/>
        <rFont val="Calibri"/>
        <family val="2"/>
        <scheme val="minor"/>
      </rPr>
      <t>AV</t>
    </r>
  </si>
  <si>
    <t>A 1,37</t>
  </si>
  <si>
    <t>S 1,02</t>
  </si>
  <si>
    <t>E 1,20</t>
  </si>
  <si>
    <t>T 1,21</t>
  </si>
  <si>
    <t>C 1,02</t>
  </si>
  <si>
    <r>
      <t>AAV</t>
    </r>
    <r>
      <rPr>
        <sz val="11"/>
        <rFont val="Calibri"/>
        <family val="2"/>
        <scheme val="minor"/>
      </rPr>
      <t>F</t>
    </r>
    <r>
      <rPr>
        <sz val="11"/>
        <color rgb="FFFF0000"/>
        <rFont val="Calibri"/>
        <family val="2"/>
        <scheme val="minor"/>
      </rPr>
      <t>A</t>
    </r>
    <r>
      <rPr>
        <sz val="11"/>
        <rFont val="Calibri"/>
        <family val="2"/>
        <scheme val="minor"/>
      </rPr>
      <t>VSE</t>
    </r>
    <r>
      <rPr>
        <sz val="11"/>
        <color rgb="FFFF0000"/>
        <rFont val="Calibri"/>
        <family val="2"/>
        <scheme val="minor"/>
      </rPr>
      <t>T</t>
    </r>
    <r>
      <rPr>
        <sz val="11"/>
        <rFont val="Calibri"/>
        <family val="2"/>
        <scheme val="minor"/>
      </rPr>
      <t>FCIT</t>
    </r>
    <r>
      <rPr>
        <sz val="11"/>
        <color rgb="FF00FF00"/>
        <rFont val="Calibri"/>
        <family val="2"/>
        <scheme val="minor"/>
      </rPr>
      <t>D</t>
    </r>
    <r>
      <rPr>
        <sz val="11"/>
        <rFont val="Calibri"/>
        <family val="2"/>
        <scheme val="minor"/>
      </rPr>
      <t>H</t>
    </r>
  </si>
  <si>
    <t>R 1,11</t>
  </si>
  <si>
    <t>Y 1,11</t>
  </si>
  <si>
    <t>R 0,90</t>
  </si>
  <si>
    <t>S 1,20</t>
  </si>
  <si>
    <r>
      <t>GRYFTVRAGS</t>
    </r>
    <r>
      <rPr>
        <sz val="11"/>
        <color rgb="FFFF0000"/>
        <rFont val="Calibri"/>
        <family val="2"/>
        <scheme val="minor"/>
      </rPr>
      <t>L</t>
    </r>
    <r>
      <rPr>
        <sz val="11"/>
        <rFont val="Calibri"/>
        <family val="2"/>
        <scheme val="minor"/>
      </rPr>
      <t>VAWN</t>
    </r>
  </si>
  <si>
    <t>I 1,31</t>
  </si>
  <si>
    <t>P 1,08</t>
  </si>
  <si>
    <t>E 1,03</t>
  </si>
  <si>
    <r>
      <t>I</t>
    </r>
    <r>
      <rPr>
        <sz val="11"/>
        <rFont val="Calibri"/>
        <family val="2"/>
        <scheme val="minor"/>
      </rPr>
      <t>P</t>
    </r>
    <r>
      <rPr>
        <sz val="11"/>
        <color rgb="FFFF0000"/>
        <rFont val="Calibri"/>
        <family val="2"/>
        <scheme val="minor"/>
      </rPr>
      <t>I</t>
    </r>
    <r>
      <rPr>
        <sz val="11"/>
        <rFont val="Calibri"/>
        <family val="2"/>
        <scheme val="minor"/>
      </rPr>
      <t>AVRNELNLSVLQ</t>
    </r>
  </si>
  <si>
    <t>P 0,96</t>
  </si>
  <si>
    <t>Y 1,14</t>
  </si>
  <si>
    <t>I 1,26</t>
  </si>
  <si>
    <t>D 1,07</t>
  </si>
  <si>
    <t>H 1,14</t>
  </si>
  <si>
    <r>
      <t>AKPY</t>
    </r>
    <r>
      <rPr>
        <sz val="11"/>
        <color rgb="FFFF0000"/>
        <rFont val="Calibri"/>
        <family val="2"/>
        <scheme val="minor"/>
      </rPr>
      <t>LI</t>
    </r>
    <r>
      <rPr>
        <sz val="11"/>
        <rFont val="Calibri"/>
        <family val="2"/>
        <scheme val="minor"/>
      </rPr>
      <t>DT</t>
    </r>
    <r>
      <rPr>
        <sz val="11"/>
        <color rgb="FFFF0000"/>
        <rFont val="Calibri"/>
        <family val="2"/>
        <scheme val="minor"/>
      </rPr>
      <t>IA</t>
    </r>
    <r>
      <rPr>
        <sz val="11"/>
        <rFont val="Calibri"/>
        <family val="2"/>
        <scheme val="minor"/>
      </rPr>
      <t>HMAIW</t>
    </r>
  </si>
  <si>
    <t>P 0,73</t>
  </si>
  <si>
    <t>S 0,95</t>
  </si>
  <si>
    <t>G 1,37</t>
  </si>
  <si>
    <t>A 1,45</t>
  </si>
  <si>
    <t>V 1,49</t>
  </si>
  <si>
    <t>A 1,41</t>
  </si>
  <si>
    <t>I 1,41</t>
  </si>
  <si>
    <r>
      <t>P</t>
    </r>
    <r>
      <rPr>
        <sz val="11"/>
        <rFont val="Calibri"/>
        <family val="2"/>
        <scheme val="minor"/>
      </rPr>
      <t>SS</t>
    </r>
    <r>
      <rPr>
        <sz val="11"/>
        <color rgb="FFFF0000"/>
        <rFont val="Calibri"/>
        <family val="2"/>
        <scheme val="minor"/>
      </rPr>
      <t>LGAVAILI</t>
    </r>
    <r>
      <rPr>
        <sz val="11"/>
        <rFont val="Calibri"/>
        <family val="2"/>
        <scheme val="minor"/>
      </rPr>
      <t>AATL</t>
    </r>
  </si>
  <si>
    <t>D 1,00</t>
  </si>
  <si>
    <t>S 1,23</t>
  </si>
  <si>
    <t>C 1,18</t>
  </si>
  <si>
    <t>R 1,38</t>
  </si>
  <si>
    <t>V 1,56</t>
  </si>
  <si>
    <t>I 1,30</t>
  </si>
  <si>
    <r>
      <t>AD</t>
    </r>
    <r>
      <rPr>
        <sz val="11"/>
        <color rgb="FFFF0000"/>
        <rFont val="Calibri"/>
        <family val="2"/>
        <scheme val="minor"/>
      </rPr>
      <t>S</t>
    </r>
    <r>
      <rPr>
        <sz val="11"/>
        <rFont val="Calibri"/>
        <family val="2"/>
        <scheme val="minor"/>
      </rPr>
      <t>VC</t>
    </r>
    <r>
      <rPr>
        <sz val="11"/>
        <color rgb="FFFF0000"/>
        <rFont val="Calibri"/>
        <family val="2"/>
        <scheme val="minor"/>
      </rPr>
      <t>GVRVAI</t>
    </r>
    <r>
      <rPr>
        <sz val="11"/>
        <rFont val="Calibri"/>
        <family val="2"/>
        <scheme val="minor"/>
      </rPr>
      <t>VAES</t>
    </r>
  </si>
  <si>
    <t>D 0,83</t>
  </si>
  <si>
    <t>I 0,92</t>
  </si>
  <si>
    <t>S 0,82</t>
  </si>
  <si>
    <t>D 0,95</t>
  </si>
  <si>
    <t>F 1,15</t>
  </si>
  <si>
    <t>L 0,87</t>
  </si>
  <si>
    <t>F 0,86</t>
  </si>
  <si>
    <r>
      <t>DISDDFFALFL</t>
    </r>
    <r>
      <rPr>
        <sz val="11"/>
        <color rgb="FF00FF00"/>
        <rFont val="Calibri"/>
        <family val="2"/>
        <scheme val="minor"/>
      </rPr>
      <t>D</t>
    </r>
    <r>
      <rPr>
        <sz val="11"/>
        <rFont val="Calibri"/>
        <family val="2"/>
        <scheme val="minor"/>
      </rPr>
      <t>PTW</t>
    </r>
  </si>
  <si>
    <t>R 0,77</t>
  </si>
  <si>
    <t>N 1,30</t>
  </si>
  <si>
    <t>C 1,33</t>
  </si>
  <si>
    <t>E 1,07</t>
  </si>
  <si>
    <r>
      <t>R</t>
    </r>
    <r>
      <rPr>
        <sz val="11"/>
        <rFont val="Calibri"/>
        <family val="2"/>
        <scheme val="minor"/>
      </rPr>
      <t>HSE</t>
    </r>
    <r>
      <rPr>
        <sz val="11"/>
        <color rgb="FFFF0000"/>
        <rFont val="Calibri"/>
        <family val="2"/>
        <scheme val="minor"/>
      </rPr>
      <t>NACAVA</t>
    </r>
    <r>
      <rPr>
        <sz val="11"/>
        <rFont val="Calibri"/>
        <family val="2"/>
        <scheme val="minor"/>
      </rPr>
      <t>EFLAD</t>
    </r>
  </si>
  <si>
    <t>V 1,44</t>
  </si>
  <si>
    <t>E 1,35</t>
  </si>
  <si>
    <t>Q 1,27</t>
  </si>
  <si>
    <t>Y 1,23</t>
  </si>
  <si>
    <t>I 1,28</t>
  </si>
  <si>
    <t>G 1,01</t>
  </si>
  <si>
    <r>
      <t>VEVQVAYAI</t>
    </r>
    <r>
      <rPr>
        <sz val="11"/>
        <rFont val="Calibri"/>
        <family val="2"/>
        <scheme val="minor"/>
      </rPr>
      <t>GKAAPV</t>
    </r>
  </si>
  <si>
    <t>R 1,17</t>
  </si>
  <si>
    <t>L 1,34</t>
  </si>
  <si>
    <r>
      <t>GDLLIGWR</t>
    </r>
    <r>
      <rPr>
        <sz val="11"/>
        <color rgb="FFFF0000"/>
        <rFont val="Calibri"/>
        <family val="2"/>
        <scheme val="minor"/>
      </rPr>
      <t>LLV</t>
    </r>
    <r>
      <rPr>
        <sz val="11"/>
        <rFont val="Calibri"/>
        <family val="2"/>
        <scheme val="minor"/>
      </rPr>
      <t>LAGV</t>
    </r>
  </si>
  <si>
    <t>Q 1,12</t>
  </si>
  <si>
    <t>L 1,09</t>
  </si>
  <si>
    <t>Q 0,99</t>
  </si>
  <si>
    <t>L 0,90</t>
  </si>
  <si>
    <t>D 0,98</t>
  </si>
  <si>
    <t>N 0,94</t>
  </si>
  <si>
    <t>W 0,84</t>
  </si>
  <si>
    <t>I 0,88</t>
  </si>
  <si>
    <t>R 0,70</t>
  </si>
  <si>
    <r>
      <t>ALDNWSI</t>
    </r>
    <r>
      <rPr>
        <sz val="11"/>
        <color rgb="FF00FF00"/>
        <rFont val="Calibri"/>
        <family val="2"/>
        <scheme val="minor"/>
      </rPr>
      <t>R</t>
    </r>
    <r>
      <rPr>
        <sz val="11"/>
        <rFont val="Calibri"/>
        <family val="2"/>
        <scheme val="minor"/>
      </rPr>
      <t>RLSSLVG</t>
    </r>
  </si>
  <si>
    <t>A 0,98</t>
  </si>
  <si>
    <t>N 1,02</t>
  </si>
  <si>
    <t>P 0,99</t>
  </si>
  <si>
    <t>L 1,25</t>
  </si>
  <si>
    <r>
      <t>ATLNP</t>
    </r>
    <r>
      <rPr>
        <sz val="11"/>
        <color rgb="FFFF0000"/>
        <rFont val="Calibri"/>
        <family val="2"/>
        <scheme val="minor"/>
      </rPr>
      <t>LAA</t>
    </r>
    <r>
      <rPr>
        <sz val="11"/>
        <rFont val="Calibri"/>
        <family val="2"/>
        <scheme val="minor"/>
      </rPr>
      <t>QIIGQLS</t>
    </r>
  </si>
  <si>
    <t>E 1,01</t>
  </si>
  <si>
    <t>R 1,03</t>
  </si>
  <si>
    <t>F 1,21</t>
  </si>
  <si>
    <r>
      <t>TER</t>
    </r>
    <r>
      <rPr>
        <sz val="11"/>
        <color rgb="FFFF0000"/>
        <rFont val="Calibri"/>
        <family val="2"/>
        <scheme val="minor"/>
      </rPr>
      <t>EAF</t>
    </r>
    <r>
      <rPr>
        <sz val="11"/>
        <rFont val="Calibri"/>
        <family val="2"/>
        <scheme val="minor"/>
      </rPr>
      <t>LA</t>
    </r>
    <r>
      <rPr>
        <sz val="11"/>
        <color rgb="FFFF0000"/>
        <rFont val="Calibri"/>
        <family val="2"/>
        <scheme val="minor"/>
      </rPr>
      <t>YA</t>
    </r>
    <r>
      <rPr>
        <sz val="11"/>
        <rFont val="Calibri"/>
        <family val="2"/>
        <scheme val="minor"/>
      </rPr>
      <t>D</t>
    </r>
    <r>
      <rPr>
        <sz val="11"/>
        <color rgb="FFFF0000"/>
        <rFont val="Calibri"/>
        <family val="2"/>
        <scheme val="minor"/>
      </rPr>
      <t>A</t>
    </r>
    <r>
      <rPr>
        <sz val="11"/>
        <rFont val="Calibri"/>
        <family val="2"/>
        <scheme val="minor"/>
      </rPr>
      <t>VNE</t>
    </r>
  </si>
  <si>
    <t>L 0,92</t>
  </si>
  <si>
    <t>W 1,04</t>
  </si>
  <si>
    <t>D 1,14</t>
  </si>
  <si>
    <t>F 1,04</t>
  </si>
  <si>
    <t>C 0,99</t>
  </si>
  <si>
    <t>T 0,91</t>
  </si>
  <si>
    <r>
      <t>AFLCTSASS</t>
    </r>
    <r>
      <rPr>
        <sz val="11"/>
        <color rgb="FFFF0000"/>
        <rFont val="Calibri"/>
        <family val="2"/>
        <scheme val="minor"/>
      </rPr>
      <t>AI</t>
    </r>
    <r>
      <rPr>
        <sz val="11"/>
        <rFont val="Calibri"/>
        <family val="2"/>
        <scheme val="minor"/>
      </rPr>
      <t>DVGA</t>
    </r>
  </si>
  <si>
    <t>F 1,48</t>
  </si>
  <si>
    <t>V 1,62</t>
  </si>
  <si>
    <t>L 1,53</t>
  </si>
  <si>
    <t>I 1,56</t>
  </si>
  <si>
    <t>V 1,60</t>
  </si>
  <si>
    <t>V 1,25</t>
  </si>
  <si>
    <r>
      <t>FVLIVVAAV</t>
    </r>
    <r>
      <rPr>
        <sz val="11"/>
        <rFont val="Calibri"/>
        <family val="2"/>
        <scheme val="minor"/>
      </rPr>
      <t>GAYLFT</t>
    </r>
  </si>
  <si>
    <t>C 1,13</t>
  </si>
  <si>
    <t>H 1,04</t>
  </si>
  <si>
    <t>I 0,81</t>
  </si>
  <si>
    <t>D 0,59</t>
  </si>
  <si>
    <t>N 0,67</t>
  </si>
  <si>
    <t>D 0,74</t>
  </si>
  <si>
    <t>R 0,67</t>
  </si>
  <si>
    <t>W 0,80</t>
  </si>
  <si>
    <r>
      <t>CHLMI</t>
    </r>
    <r>
      <rPr>
        <sz val="11"/>
        <color rgb="FF00FF00"/>
        <rFont val="Calibri"/>
        <family val="2"/>
        <scheme val="minor"/>
      </rPr>
      <t>DNPDR</t>
    </r>
    <r>
      <rPr>
        <sz val="11"/>
        <rFont val="Calibri"/>
        <family val="2"/>
        <scheme val="minor"/>
      </rPr>
      <t>W</t>
    </r>
    <r>
      <rPr>
        <sz val="11"/>
        <color rgb="FF00FF00"/>
        <rFont val="Calibri"/>
        <family val="2"/>
        <scheme val="minor"/>
      </rPr>
      <t>AP</t>
    </r>
    <r>
      <rPr>
        <sz val="11"/>
        <rFont val="Calibri"/>
        <family val="2"/>
        <scheme val="minor"/>
      </rPr>
      <t>PY</t>
    </r>
  </si>
  <si>
    <t>E 1,23</t>
  </si>
  <si>
    <t>Q 1,17</t>
  </si>
  <si>
    <t>D 1,09</t>
  </si>
  <si>
    <t>Q 1,23</t>
  </si>
  <si>
    <r>
      <t>E</t>
    </r>
    <r>
      <rPr>
        <sz val="11"/>
        <rFont val="Calibri"/>
        <family val="2"/>
        <scheme val="minor"/>
      </rPr>
      <t>TQ</t>
    </r>
    <r>
      <rPr>
        <sz val="11"/>
        <color rgb="FFFF0000"/>
        <rFont val="Calibri"/>
        <family val="2"/>
        <scheme val="minor"/>
      </rPr>
      <t>V</t>
    </r>
    <r>
      <rPr>
        <sz val="11"/>
        <rFont val="Calibri"/>
        <family val="2"/>
        <scheme val="minor"/>
      </rPr>
      <t>AD</t>
    </r>
    <r>
      <rPr>
        <sz val="11"/>
        <color rgb="FFFF0000"/>
        <rFont val="Calibri"/>
        <family val="2"/>
        <scheme val="minor"/>
      </rPr>
      <t>AAQAV</t>
    </r>
    <r>
      <rPr>
        <sz val="11"/>
        <rFont val="Calibri"/>
        <family val="2"/>
        <scheme val="minor"/>
      </rPr>
      <t>MEAW</t>
    </r>
  </si>
  <si>
    <t>S 1,11</t>
  </si>
  <si>
    <t>T 1,28</t>
  </si>
  <si>
    <t>T 1,24</t>
  </si>
  <si>
    <r>
      <t>AAQFKES</t>
    </r>
    <r>
      <rPr>
        <sz val="11"/>
        <color rgb="FFFF0000"/>
        <rFont val="Calibri"/>
        <family val="2"/>
        <scheme val="minor"/>
      </rPr>
      <t>TATL</t>
    </r>
    <r>
      <rPr>
        <sz val="11"/>
        <rFont val="Calibri"/>
        <family val="2"/>
        <scheme val="minor"/>
      </rPr>
      <t>ITEY</t>
    </r>
  </si>
  <si>
    <t>W 0,94</t>
  </si>
  <si>
    <t>I 0,86</t>
  </si>
  <si>
    <t>R 1,16</t>
  </si>
  <si>
    <t>C 1,22</t>
  </si>
  <si>
    <t>S 1,17</t>
  </si>
  <si>
    <r>
      <t>ADSWLIRR</t>
    </r>
    <r>
      <rPr>
        <sz val="11"/>
        <color rgb="FFFF0000"/>
        <rFont val="Calibri"/>
        <family val="2"/>
        <scheme val="minor"/>
      </rPr>
      <t>C</t>
    </r>
    <r>
      <rPr>
        <sz val="11"/>
        <rFont val="Calibri"/>
        <family val="2"/>
        <scheme val="minor"/>
      </rPr>
      <t>S</t>
    </r>
    <r>
      <rPr>
        <sz val="11"/>
        <color rgb="FFFF0000"/>
        <rFont val="Calibri"/>
        <family val="2"/>
        <scheme val="minor"/>
      </rPr>
      <t>V</t>
    </r>
    <r>
      <rPr>
        <sz val="11"/>
        <rFont val="Calibri"/>
        <family val="2"/>
        <scheme val="minor"/>
      </rPr>
      <t>VQGC</t>
    </r>
  </si>
  <si>
    <t>F 1,25</t>
  </si>
  <si>
    <r>
      <t>AG</t>
    </r>
    <r>
      <rPr>
        <sz val="11"/>
        <color rgb="FFFF0000"/>
        <rFont val="Calibri"/>
        <family val="2"/>
        <scheme val="minor"/>
      </rPr>
      <t>FALFVLTFLV</t>
    </r>
    <r>
      <rPr>
        <sz val="11"/>
        <rFont val="Calibri"/>
        <family val="2"/>
        <scheme val="minor"/>
      </rPr>
      <t>NAA</t>
    </r>
  </si>
  <si>
    <t>G 0,88</t>
  </si>
  <si>
    <t>L 1,06</t>
  </si>
  <si>
    <t>F 1,23</t>
  </si>
  <si>
    <r>
      <t>GYDLD</t>
    </r>
    <r>
      <rPr>
        <sz val="11"/>
        <color rgb="FFFF0000"/>
        <rFont val="Calibri"/>
        <family val="2"/>
        <scheme val="minor"/>
      </rPr>
      <t>F</t>
    </r>
    <r>
      <rPr>
        <sz val="11"/>
        <rFont val="Calibri"/>
        <family val="2"/>
        <scheme val="minor"/>
      </rPr>
      <t>GIAADQEFI</t>
    </r>
  </si>
  <si>
    <t>C 0,95</t>
  </si>
  <si>
    <t>C 1,12</t>
  </si>
  <si>
    <t>E 1,27</t>
  </si>
  <si>
    <t>F 1,24</t>
  </si>
  <si>
    <r>
      <t>VCGYHCW</t>
    </r>
    <r>
      <rPr>
        <sz val="11"/>
        <color rgb="FFFF0000"/>
        <rFont val="Calibri"/>
        <family val="2"/>
        <scheme val="minor"/>
      </rPr>
      <t>AEFF</t>
    </r>
    <r>
      <rPr>
        <sz val="11"/>
        <rFont val="Calibri"/>
        <family val="2"/>
        <scheme val="minor"/>
      </rPr>
      <t>VAGL</t>
    </r>
  </si>
  <si>
    <t>D 1,21</t>
  </si>
  <si>
    <t>T 1,40</t>
  </si>
  <si>
    <t>T 1,37</t>
  </si>
  <si>
    <t>L 1,33</t>
  </si>
  <si>
    <t>I 1,29</t>
  </si>
  <si>
    <r>
      <t>L</t>
    </r>
    <r>
      <rPr>
        <sz val="11"/>
        <color rgb="FFFF0000"/>
        <rFont val="Calibri"/>
        <family val="2"/>
        <scheme val="minor"/>
      </rPr>
      <t>TDTVATILAI</t>
    </r>
    <r>
      <rPr>
        <sz val="11"/>
        <rFont val="Calibri"/>
        <family val="2"/>
        <scheme val="minor"/>
      </rPr>
      <t>LALT</t>
    </r>
  </si>
  <si>
    <t>A 1,47</t>
  </si>
  <si>
    <t>V 1,47</t>
  </si>
  <si>
    <t>V 1,39</t>
  </si>
  <si>
    <r>
      <t>AVVAMAAIA</t>
    </r>
    <r>
      <rPr>
        <sz val="11"/>
        <rFont val="Calibri"/>
        <family val="2"/>
        <scheme val="minor"/>
      </rPr>
      <t>TFAAPV</t>
    </r>
  </si>
  <si>
    <t>R 0,98</t>
  </si>
  <si>
    <t>F 1,32</t>
  </si>
  <si>
    <t>F 1,37</t>
  </si>
  <si>
    <t>F 1,42</t>
  </si>
  <si>
    <r>
      <t>AR</t>
    </r>
    <r>
      <rPr>
        <sz val="11"/>
        <color rgb="FFFF0000"/>
        <rFont val="Calibri"/>
        <family val="2"/>
        <scheme val="minor"/>
      </rPr>
      <t>LFEFVAAFFVV</t>
    </r>
    <r>
      <rPr>
        <sz val="11"/>
        <rFont val="Calibri"/>
        <family val="2"/>
        <scheme val="minor"/>
      </rPr>
      <t>TA</t>
    </r>
  </si>
  <si>
    <t>H 1,12</t>
  </si>
  <si>
    <t>C 1,21</t>
  </si>
  <si>
    <t>W 1,20</t>
  </si>
  <si>
    <r>
      <t>VCGYH</t>
    </r>
    <r>
      <rPr>
        <sz val="11"/>
        <color rgb="FFFF0000"/>
        <rFont val="Calibri"/>
        <family val="2"/>
        <scheme val="minor"/>
      </rPr>
      <t>C</t>
    </r>
    <r>
      <rPr>
        <sz val="11"/>
        <rFont val="Calibri"/>
        <family val="2"/>
        <scheme val="minor"/>
      </rPr>
      <t>W</t>
    </r>
    <r>
      <rPr>
        <sz val="11"/>
        <color rgb="FFFF0000"/>
        <rFont val="Calibri"/>
        <family val="2"/>
        <scheme val="minor"/>
      </rPr>
      <t>VEFF</t>
    </r>
    <r>
      <rPr>
        <sz val="11"/>
        <rFont val="Calibri"/>
        <family val="2"/>
        <scheme val="minor"/>
      </rPr>
      <t>VAGL</t>
    </r>
  </si>
  <si>
    <t>Y 1,15</t>
  </si>
  <si>
    <t>T 0,63</t>
  </si>
  <si>
    <t>G 0,63</t>
  </si>
  <si>
    <t>S 1,09</t>
  </si>
  <si>
    <r>
      <t>I</t>
    </r>
    <r>
      <rPr>
        <sz val="11"/>
        <rFont val="Calibri"/>
        <family val="2"/>
        <scheme val="minor"/>
      </rPr>
      <t>YFDV</t>
    </r>
    <r>
      <rPr>
        <sz val="11"/>
        <color rgb="FF00FF00"/>
        <rFont val="Calibri"/>
        <family val="2"/>
        <scheme val="minor"/>
      </rPr>
      <t>TGP</t>
    </r>
    <r>
      <rPr>
        <sz val="11"/>
        <rFont val="Calibri"/>
        <family val="2"/>
        <scheme val="minor"/>
      </rPr>
      <t>S</t>
    </r>
    <r>
      <rPr>
        <sz val="11"/>
        <color rgb="FFFF0000"/>
        <rFont val="Calibri"/>
        <family val="2"/>
        <scheme val="minor"/>
      </rPr>
      <t>PTIV</t>
    </r>
    <r>
      <rPr>
        <sz val="11"/>
        <rFont val="Calibri"/>
        <family val="2"/>
        <scheme val="minor"/>
      </rPr>
      <t>AM</t>
    </r>
  </si>
  <si>
    <t>M 1,43</t>
  </si>
  <si>
    <t>Y 1,43</t>
  </si>
  <si>
    <t>T 0,86</t>
  </si>
  <si>
    <r>
      <t>LMVYVAT</t>
    </r>
    <r>
      <rPr>
        <sz val="11"/>
        <rFont val="Calibri"/>
        <family val="2"/>
        <scheme val="minor"/>
      </rPr>
      <t>VTQLSR</t>
    </r>
    <r>
      <rPr>
        <sz val="11"/>
        <color rgb="FFFF0000"/>
        <rFont val="Calibri"/>
        <family val="2"/>
        <scheme val="minor"/>
      </rPr>
      <t>I</t>
    </r>
    <r>
      <rPr>
        <sz val="11"/>
        <rFont val="Calibri"/>
        <family val="2"/>
        <scheme val="minor"/>
      </rPr>
      <t>V</t>
    </r>
  </si>
  <si>
    <t>M 1,07</t>
  </si>
  <si>
    <t>H 1,28</t>
  </si>
  <si>
    <r>
      <t>ML</t>
    </r>
    <r>
      <rPr>
        <sz val="11"/>
        <rFont val="Calibri"/>
        <family val="2"/>
        <scheme val="minor"/>
      </rPr>
      <t>IFMLW</t>
    </r>
    <r>
      <rPr>
        <sz val="11"/>
        <color rgb="FFFF0000"/>
        <rFont val="Calibri"/>
        <family val="2"/>
        <scheme val="minor"/>
      </rPr>
      <t>HAI</t>
    </r>
    <r>
      <rPr>
        <sz val="11"/>
        <rFont val="Calibri"/>
        <family val="2"/>
        <scheme val="minor"/>
      </rPr>
      <t>FVEHS</t>
    </r>
  </si>
  <si>
    <t>G 1,22</t>
  </si>
  <si>
    <t>F 1,33</t>
  </si>
  <si>
    <t>Y 1,41</t>
  </si>
  <si>
    <t>V 1,42</t>
  </si>
  <si>
    <t>T 1,12</t>
  </si>
  <si>
    <r>
      <t>WA</t>
    </r>
    <r>
      <rPr>
        <sz val="11"/>
        <color rgb="FFFF0000"/>
        <rFont val="Calibri"/>
        <family val="2"/>
        <scheme val="minor"/>
      </rPr>
      <t>GFAYV</t>
    </r>
    <r>
      <rPr>
        <sz val="11"/>
        <rFont val="Calibri"/>
        <family val="2"/>
        <scheme val="minor"/>
      </rPr>
      <t>AFVTDAYA</t>
    </r>
  </si>
  <si>
    <t>F 1,28</t>
  </si>
  <si>
    <t>K 1,33</t>
  </si>
  <si>
    <r>
      <t>FAKAAA</t>
    </r>
    <r>
      <rPr>
        <sz val="11"/>
        <rFont val="Calibri"/>
        <family val="2"/>
        <scheme val="minor"/>
      </rPr>
      <t>ATTAGAFMS</t>
    </r>
  </si>
  <si>
    <t>I 1,33</t>
  </si>
  <si>
    <t>M 1,25</t>
  </si>
  <si>
    <t>W 1,27</t>
  </si>
  <si>
    <t>F 0,98</t>
  </si>
  <si>
    <r>
      <t>IMTWV</t>
    </r>
    <r>
      <rPr>
        <sz val="11"/>
        <rFont val="Calibri"/>
        <family val="2"/>
        <scheme val="minor"/>
      </rPr>
      <t>TAFFA</t>
    </r>
    <r>
      <rPr>
        <sz val="11"/>
        <color rgb="FF00FF00"/>
        <rFont val="Calibri"/>
        <family val="2"/>
        <scheme val="minor"/>
      </rPr>
      <t>P</t>
    </r>
    <r>
      <rPr>
        <sz val="11"/>
        <rFont val="Calibri"/>
        <family val="2"/>
        <scheme val="minor"/>
      </rPr>
      <t>TDGG</t>
    </r>
  </si>
  <si>
    <t>C 0,98</t>
  </si>
  <si>
    <t>W 1,14</t>
  </si>
  <si>
    <t>Q 1,15</t>
  </si>
  <si>
    <r>
      <t>CGDWAQ</t>
    </r>
    <r>
      <rPr>
        <sz val="11"/>
        <color rgb="FFFF0000"/>
        <rFont val="Calibri"/>
        <family val="2"/>
        <scheme val="minor"/>
      </rPr>
      <t>A</t>
    </r>
    <r>
      <rPr>
        <sz val="11"/>
        <rFont val="Calibri"/>
        <family val="2"/>
        <scheme val="minor"/>
      </rPr>
      <t>LAELRAAR</t>
    </r>
  </si>
  <si>
    <t>I 1,50</t>
  </si>
  <si>
    <t>D 1,28</t>
  </si>
  <si>
    <t>D 0,78</t>
  </si>
  <si>
    <r>
      <t>RAIVVDV</t>
    </r>
    <r>
      <rPr>
        <sz val="11"/>
        <rFont val="Calibri"/>
        <family val="2"/>
        <scheme val="minor"/>
      </rPr>
      <t>IV</t>
    </r>
    <r>
      <rPr>
        <sz val="11"/>
        <color rgb="FF00FF00"/>
        <rFont val="Calibri"/>
        <family val="2"/>
        <scheme val="minor"/>
      </rPr>
      <t>DS</t>
    </r>
    <r>
      <rPr>
        <sz val="11"/>
        <rFont val="Calibri"/>
        <family val="2"/>
        <scheme val="minor"/>
      </rPr>
      <t>A</t>
    </r>
    <r>
      <rPr>
        <sz val="11"/>
        <color rgb="FF00FF00"/>
        <rFont val="Calibri"/>
        <family val="2"/>
        <scheme val="minor"/>
      </rPr>
      <t>NP</t>
    </r>
    <r>
      <rPr>
        <sz val="11"/>
        <rFont val="Calibri"/>
        <family val="2"/>
        <scheme val="minor"/>
      </rPr>
      <t>H</t>
    </r>
  </si>
  <si>
    <t>D 0,79</t>
  </si>
  <si>
    <t>R 1,12</t>
  </si>
  <si>
    <r>
      <t>D</t>
    </r>
    <r>
      <rPr>
        <sz val="11"/>
        <rFont val="Calibri"/>
        <family val="2"/>
        <scheme val="minor"/>
      </rPr>
      <t>D</t>
    </r>
    <r>
      <rPr>
        <sz val="11"/>
        <color rgb="FFFF0000"/>
        <rFont val="Calibri"/>
        <family val="2"/>
        <scheme val="minor"/>
      </rPr>
      <t>G</t>
    </r>
    <r>
      <rPr>
        <sz val="11"/>
        <rFont val="Calibri"/>
        <family val="2"/>
        <scheme val="minor"/>
      </rPr>
      <t>LS</t>
    </r>
    <r>
      <rPr>
        <sz val="11"/>
        <color rgb="FFFF0000"/>
        <rFont val="Calibri"/>
        <family val="2"/>
        <scheme val="minor"/>
      </rPr>
      <t>IV</t>
    </r>
    <r>
      <rPr>
        <sz val="11"/>
        <rFont val="Calibri"/>
        <family val="2"/>
        <scheme val="minor"/>
      </rPr>
      <t>R</t>
    </r>
    <r>
      <rPr>
        <sz val="11"/>
        <color rgb="FFFF0000"/>
        <rFont val="Calibri"/>
        <family val="2"/>
        <scheme val="minor"/>
      </rPr>
      <t>AVA</t>
    </r>
    <r>
      <rPr>
        <sz val="11"/>
        <rFont val="Calibri"/>
        <family val="2"/>
        <scheme val="minor"/>
      </rPr>
      <t>SAVW</t>
    </r>
  </si>
  <si>
    <t>D 1,42</t>
  </si>
  <si>
    <t>I 1,65</t>
  </si>
  <si>
    <t>A 1,57</t>
  </si>
  <si>
    <t>V 1,66</t>
  </si>
  <si>
    <t>V 1,54</t>
  </si>
  <si>
    <t>L 1,43</t>
  </si>
  <si>
    <t>V 1,26</t>
  </si>
  <si>
    <r>
      <t>VDIAVVVLVLV</t>
    </r>
    <r>
      <rPr>
        <sz val="11"/>
        <rFont val="Calibri"/>
        <family val="2"/>
        <scheme val="minor"/>
      </rPr>
      <t>LTNL</t>
    </r>
  </si>
  <si>
    <t>M 1,01</t>
  </si>
  <si>
    <t>C 1,04</t>
  </si>
  <si>
    <t>F 1,08</t>
  </si>
  <si>
    <r>
      <t>FV</t>
    </r>
    <r>
      <rPr>
        <sz val="11"/>
        <rFont val="Calibri"/>
        <family val="2"/>
        <scheme val="minor"/>
      </rPr>
      <t>VMSCFF</t>
    </r>
    <r>
      <rPr>
        <sz val="11"/>
        <color rgb="FFFF0000"/>
        <rFont val="Calibri"/>
        <family val="2"/>
        <scheme val="minor"/>
      </rPr>
      <t>GTLMV</t>
    </r>
    <r>
      <rPr>
        <sz val="11"/>
        <rFont val="Calibri"/>
        <family val="2"/>
        <scheme val="minor"/>
      </rPr>
      <t>IT</t>
    </r>
  </si>
  <si>
    <t>M 1,24</t>
  </si>
  <si>
    <t>Y 0,74</t>
  </si>
  <si>
    <t>D 1,19</t>
  </si>
  <si>
    <r>
      <t>EG</t>
    </r>
    <r>
      <rPr>
        <sz val="11"/>
        <color rgb="FFFF0000"/>
        <rFont val="Calibri"/>
        <family val="2"/>
        <scheme val="minor"/>
      </rPr>
      <t>M</t>
    </r>
    <r>
      <rPr>
        <sz val="11"/>
        <rFont val="Calibri"/>
        <family val="2"/>
        <scheme val="minor"/>
      </rPr>
      <t>TIL</t>
    </r>
    <r>
      <rPr>
        <sz val="11"/>
        <color rgb="FF00FF00"/>
        <rFont val="Calibri"/>
        <family val="2"/>
        <scheme val="minor"/>
      </rPr>
      <t>Y</t>
    </r>
    <r>
      <rPr>
        <sz val="11"/>
        <rFont val="Calibri"/>
        <family val="2"/>
        <scheme val="minor"/>
      </rPr>
      <t>SDD</t>
    </r>
    <r>
      <rPr>
        <sz val="11"/>
        <color rgb="FFFF0000"/>
        <rFont val="Calibri"/>
        <family val="2"/>
        <scheme val="minor"/>
      </rPr>
      <t>DIV</t>
    </r>
    <r>
      <rPr>
        <sz val="11"/>
        <rFont val="Calibri"/>
        <family val="2"/>
        <scheme val="minor"/>
      </rPr>
      <t>AV</t>
    </r>
  </si>
  <si>
    <t>F 1,17</t>
  </si>
  <si>
    <t>A 1,08</t>
  </si>
  <si>
    <t>I 1,03</t>
  </si>
  <si>
    <t>M 0,98</t>
  </si>
  <si>
    <t>S 0,94</t>
  </si>
  <si>
    <t>C 1,07</t>
  </si>
  <si>
    <t>N 1,06</t>
  </si>
  <si>
    <r>
      <t>EF</t>
    </r>
    <r>
      <rPr>
        <sz val="11"/>
        <rFont val="Calibri"/>
        <family val="2"/>
        <scheme val="minor"/>
      </rPr>
      <t>FAIMSDCANTQIG</t>
    </r>
  </si>
  <si>
    <t>N 0,89</t>
  </si>
  <si>
    <t>Q 1,04</t>
  </si>
  <si>
    <t>S 0,96</t>
  </si>
  <si>
    <t>A 0,95</t>
  </si>
  <si>
    <t>Q 1,00</t>
  </si>
  <si>
    <t>Q 0,97</t>
  </si>
  <si>
    <t>L 1,46</t>
  </si>
  <si>
    <t>L 1,57</t>
  </si>
  <si>
    <r>
      <t>ALALVVV</t>
    </r>
    <r>
      <rPr>
        <sz val="11"/>
        <rFont val="Calibri"/>
        <family val="2"/>
        <scheme val="minor"/>
      </rPr>
      <t>AFTYLCFT</t>
    </r>
  </si>
  <si>
    <t>I 1,40</t>
  </si>
  <si>
    <t>S 1,33</t>
  </si>
  <si>
    <t>S 1,26</t>
  </si>
  <si>
    <r>
      <t>AAISVV</t>
    </r>
    <r>
      <rPr>
        <sz val="11"/>
        <rFont val="Calibri"/>
        <family val="2"/>
        <scheme val="minor"/>
      </rPr>
      <t>LLS</t>
    </r>
    <r>
      <rPr>
        <sz val="11"/>
        <color rgb="FFFF0000"/>
        <rFont val="Calibri"/>
        <family val="2"/>
        <scheme val="minor"/>
      </rPr>
      <t>ISFI</t>
    </r>
    <r>
      <rPr>
        <sz val="11"/>
        <rFont val="Calibri"/>
        <family val="2"/>
        <scheme val="minor"/>
      </rPr>
      <t>VL</t>
    </r>
  </si>
  <si>
    <r>
      <t>AF</t>
    </r>
    <r>
      <rPr>
        <sz val="11"/>
        <rFont val="Calibri"/>
        <family val="2"/>
        <scheme val="minor"/>
      </rPr>
      <t>FAIMSDCANTQIG</t>
    </r>
  </si>
  <si>
    <t>A 0,89</t>
  </si>
  <si>
    <r>
      <t>ALGK</t>
    </r>
    <r>
      <rPr>
        <sz val="11"/>
        <color rgb="FFFF0000"/>
        <rFont val="Calibri"/>
        <family val="2"/>
        <scheme val="minor"/>
      </rPr>
      <t>FADAV</t>
    </r>
    <r>
      <rPr>
        <sz val="11"/>
        <rFont val="Calibri"/>
        <family val="2"/>
        <scheme val="minor"/>
      </rPr>
      <t>AAE</t>
    </r>
    <r>
      <rPr>
        <sz val="11"/>
        <color rgb="FF00FF00"/>
        <rFont val="Calibri"/>
        <family val="2"/>
        <scheme val="minor"/>
      </rPr>
      <t>CR</t>
    </r>
    <r>
      <rPr>
        <sz val="11"/>
        <rFont val="Calibri"/>
        <family val="2"/>
        <scheme val="minor"/>
      </rPr>
      <t>R</t>
    </r>
  </si>
  <si>
    <t>F 1,30</t>
  </si>
  <si>
    <t>M 1,29</t>
  </si>
  <si>
    <t>V 0,95</t>
  </si>
  <si>
    <t>D 0,84</t>
  </si>
  <si>
    <r>
      <t>AFVFAMI</t>
    </r>
    <r>
      <rPr>
        <sz val="11"/>
        <rFont val="Calibri"/>
        <family val="2"/>
        <scheme val="minor"/>
      </rPr>
      <t>AVDLSRLA</t>
    </r>
  </si>
  <si>
    <t>F 1,36</t>
  </si>
  <si>
    <t>N 1,41</t>
  </si>
  <si>
    <t>V 1,45</t>
  </si>
  <si>
    <t>L 1,49</t>
  </si>
  <si>
    <t>Y 1,02</t>
  </si>
  <si>
    <r>
      <t>FNVLVAALIV</t>
    </r>
    <r>
      <rPr>
        <sz val="11"/>
        <rFont val="Calibri"/>
        <family val="2"/>
        <scheme val="minor"/>
      </rPr>
      <t>YVGDQ</t>
    </r>
  </si>
  <si>
    <t>E 0,87</t>
  </si>
  <si>
    <t>E 1,38</t>
  </si>
  <si>
    <t>A 1,51</t>
  </si>
  <si>
    <r>
      <t>ELTPD</t>
    </r>
    <r>
      <rPr>
        <sz val="11"/>
        <color rgb="FFFF0000"/>
        <rFont val="Calibri"/>
        <family val="2"/>
        <scheme val="minor"/>
      </rPr>
      <t>EAAAVA</t>
    </r>
    <r>
      <rPr>
        <sz val="11"/>
        <rFont val="Calibri"/>
        <family val="2"/>
        <scheme val="minor"/>
      </rPr>
      <t>VATQ</t>
    </r>
  </si>
  <si>
    <t>A 0,96</t>
  </si>
  <si>
    <t>R 0,96</t>
  </si>
  <si>
    <t>A 1,31</t>
  </si>
  <si>
    <t>A 1,56</t>
  </si>
  <si>
    <t>A 1,49</t>
  </si>
  <si>
    <r>
      <t>ARALR</t>
    </r>
    <r>
      <rPr>
        <sz val="11"/>
        <color rgb="FFFF0000"/>
        <rFont val="Calibri"/>
        <family val="2"/>
        <scheme val="minor"/>
      </rPr>
      <t>ATTAIAVV</t>
    </r>
    <r>
      <rPr>
        <sz val="11"/>
        <rFont val="Calibri"/>
        <family val="2"/>
        <scheme val="minor"/>
      </rPr>
      <t>VG</t>
    </r>
  </si>
  <si>
    <t>D 0,99</t>
  </si>
  <si>
    <t>F 1,11</t>
  </si>
  <si>
    <t>M 1,10</t>
  </si>
  <si>
    <t>M 0,99</t>
  </si>
  <si>
    <t>R 1,06</t>
  </si>
  <si>
    <t>L 1,19</t>
  </si>
  <si>
    <r>
      <t>AL</t>
    </r>
    <r>
      <rPr>
        <sz val="11"/>
        <rFont val="Calibri"/>
        <family val="2"/>
        <scheme val="minor"/>
      </rPr>
      <t>LVFFG</t>
    </r>
    <r>
      <rPr>
        <sz val="11"/>
        <color rgb="FFFF0000"/>
        <rFont val="Calibri"/>
        <family val="2"/>
        <scheme val="minor"/>
      </rPr>
      <t>LF</t>
    </r>
    <r>
      <rPr>
        <sz val="11"/>
        <rFont val="Calibri"/>
        <family val="2"/>
        <scheme val="minor"/>
      </rPr>
      <t>LGVAGT</t>
    </r>
  </si>
  <si>
    <r>
      <t>FVV</t>
    </r>
    <r>
      <rPr>
        <sz val="11"/>
        <rFont val="Calibri"/>
        <family val="2"/>
        <scheme val="minor"/>
      </rPr>
      <t>S</t>
    </r>
    <r>
      <rPr>
        <sz val="11"/>
        <color rgb="FFFF0000"/>
        <rFont val="Calibri"/>
        <family val="2"/>
        <scheme val="minor"/>
      </rPr>
      <t>FVFNVLVA</t>
    </r>
    <r>
      <rPr>
        <sz val="11"/>
        <rFont val="Calibri"/>
        <family val="2"/>
        <scheme val="minor"/>
      </rPr>
      <t>ALI</t>
    </r>
  </si>
  <si>
    <t>W 0,99</t>
  </si>
  <si>
    <t>A 1,06</t>
  </si>
  <si>
    <t>R 1,04</t>
  </si>
  <si>
    <r>
      <t>DLTDWLSSAR</t>
    </r>
    <r>
      <rPr>
        <sz val="11"/>
        <color rgb="FFFF0000"/>
        <rFont val="Calibri"/>
        <family val="2"/>
        <scheme val="minor"/>
      </rPr>
      <t>L</t>
    </r>
    <r>
      <rPr>
        <sz val="11"/>
        <rFont val="Calibri"/>
        <family val="2"/>
        <scheme val="minor"/>
      </rPr>
      <t>YLLA</t>
    </r>
  </si>
  <si>
    <t>P 1,13</t>
  </si>
  <si>
    <r>
      <t>S</t>
    </r>
    <r>
      <rPr>
        <sz val="11"/>
        <color rgb="FF00FF00"/>
        <rFont val="Calibri"/>
        <family val="2"/>
        <scheme val="minor"/>
      </rPr>
      <t>P</t>
    </r>
    <r>
      <rPr>
        <sz val="11"/>
        <rFont val="Calibri"/>
        <family val="2"/>
        <scheme val="minor"/>
      </rPr>
      <t>QLTP</t>
    </r>
    <r>
      <rPr>
        <sz val="11"/>
        <color rgb="FFFF0000"/>
        <rFont val="Calibri"/>
        <family val="2"/>
        <scheme val="minor"/>
      </rPr>
      <t>AV</t>
    </r>
    <r>
      <rPr>
        <sz val="11"/>
        <rFont val="Calibri"/>
        <family val="2"/>
        <scheme val="minor"/>
      </rPr>
      <t>FLLYFLL</t>
    </r>
  </si>
  <si>
    <t>K 1,15</t>
  </si>
  <si>
    <t>Q 1,16</t>
  </si>
  <si>
    <t>S 1,19</t>
  </si>
  <si>
    <r>
      <t>NAFLGKQ</t>
    </r>
    <r>
      <rPr>
        <sz val="11"/>
        <color rgb="FFFF0000"/>
        <rFont val="Calibri"/>
        <family val="2"/>
        <scheme val="minor"/>
      </rPr>
      <t>V</t>
    </r>
    <r>
      <rPr>
        <sz val="11"/>
        <rFont val="Calibri"/>
        <family val="2"/>
        <scheme val="minor"/>
      </rPr>
      <t>LS</t>
    </r>
    <r>
      <rPr>
        <sz val="11"/>
        <color rgb="FFFF0000"/>
        <rFont val="Calibri"/>
        <family val="2"/>
        <scheme val="minor"/>
      </rPr>
      <t>AAGV</t>
    </r>
    <r>
      <rPr>
        <sz val="11"/>
        <rFont val="Calibri"/>
        <family val="2"/>
        <scheme val="minor"/>
      </rPr>
      <t>V</t>
    </r>
  </si>
  <si>
    <t>G 1,29</t>
  </si>
  <si>
    <t>P 1,00</t>
  </si>
  <si>
    <r>
      <t>AS</t>
    </r>
    <r>
      <rPr>
        <sz val="11"/>
        <color rgb="FFFF0000"/>
        <rFont val="Calibri"/>
        <family val="2"/>
        <scheme val="minor"/>
      </rPr>
      <t>ILG</t>
    </r>
    <r>
      <rPr>
        <sz val="11"/>
        <rFont val="Calibri"/>
        <family val="2"/>
        <scheme val="minor"/>
      </rPr>
      <t>LVAAPLMLLG</t>
    </r>
  </si>
  <si>
    <t>E 0,76</t>
  </si>
  <si>
    <t>H 0,90</t>
  </si>
  <si>
    <t>R 0,86</t>
  </si>
  <si>
    <t>R 1,02</t>
  </si>
  <si>
    <t>V 1,17</t>
  </si>
  <si>
    <t>R 1,05</t>
  </si>
  <si>
    <r>
      <t>E</t>
    </r>
    <r>
      <rPr>
        <sz val="11"/>
        <rFont val="Calibri"/>
        <family val="2"/>
        <scheme val="minor"/>
      </rPr>
      <t>HRTRVRKY</t>
    </r>
    <r>
      <rPr>
        <sz val="11"/>
        <color rgb="FFFF0000"/>
        <rFont val="Calibri"/>
        <family val="2"/>
        <scheme val="minor"/>
      </rPr>
      <t>L</t>
    </r>
    <r>
      <rPr>
        <sz val="11"/>
        <rFont val="Calibri"/>
        <family val="2"/>
        <scheme val="minor"/>
      </rPr>
      <t>TLMAF</t>
    </r>
  </si>
  <si>
    <t>T 1,26</t>
  </si>
  <si>
    <t>S 1,25</t>
  </si>
  <si>
    <r>
      <t>A</t>
    </r>
    <r>
      <rPr>
        <sz val="11"/>
        <rFont val="Calibri"/>
        <family val="2"/>
        <scheme val="minor"/>
      </rPr>
      <t>AL</t>
    </r>
    <r>
      <rPr>
        <sz val="11"/>
        <color rgb="FFFF0000"/>
        <rFont val="Calibri"/>
        <family val="2"/>
        <scheme val="minor"/>
      </rPr>
      <t>LT</t>
    </r>
    <r>
      <rPr>
        <sz val="11"/>
        <rFont val="Calibri"/>
        <family val="2"/>
        <scheme val="minor"/>
      </rPr>
      <t>R</t>
    </r>
    <r>
      <rPr>
        <sz val="11"/>
        <color rgb="FFFF0000"/>
        <rFont val="Calibri"/>
        <family val="2"/>
        <scheme val="minor"/>
      </rPr>
      <t>VIASA</t>
    </r>
    <r>
      <rPr>
        <sz val="11"/>
        <rFont val="Calibri"/>
        <family val="2"/>
        <scheme val="minor"/>
      </rPr>
      <t>VAEG</t>
    </r>
  </si>
  <si>
    <t>E 0,90</t>
  </si>
  <si>
    <t>E 0,92</t>
  </si>
  <si>
    <t>R 1,14</t>
  </si>
  <si>
    <r>
      <t>EEQFR</t>
    </r>
    <r>
      <rPr>
        <sz val="11"/>
        <color rgb="FFFF0000"/>
        <rFont val="Calibri"/>
        <family val="2"/>
        <scheme val="minor"/>
      </rPr>
      <t>LAAAVAA</t>
    </r>
    <r>
      <rPr>
        <sz val="11"/>
        <rFont val="Calibri"/>
        <family val="2"/>
        <scheme val="minor"/>
      </rPr>
      <t>ALA</t>
    </r>
  </si>
  <si>
    <t>G 0,96</t>
  </si>
  <si>
    <t>G 0,99</t>
  </si>
  <si>
    <t>N 1,36</t>
  </si>
  <si>
    <t>Y 1,32</t>
  </si>
  <si>
    <r>
      <t>SSGGMFN</t>
    </r>
    <r>
      <rPr>
        <sz val="11"/>
        <color rgb="FFFF0000"/>
        <rFont val="Calibri"/>
        <family val="2"/>
        <scheme val="minor"/>
      </rPr>
      <t>NYAIV</t>
    </r>
    <r>
      <rPr>
        <sz val="11"/>
        <rFont val="Calibri"/>
        <family val="2"/>
        <scheme val="minor"/>
      </rPr>
      <t>QGV</t>
    </r>
  </si>
  <si>
    <r>
      <t>AEVLIDAVA</t>
    </r>
    <r>
      <rPr>
        <sz val="11"/>
        <rFont val="Calibri"/>
        <family val="2"/>
        <scheme val="minor"/>
      </rPr>
      <t>AAGAEC</t>
    </r>
  </si>
  <si>
    <t>M 1,40</t>
  </si>
  <si>
    <t>T 1,30</t>
  </si>
  <si>
    <r>
      <t>ISVAYALMVATI</t>
    </r>
    <r>
      <rPr>
        <sz val="11"/>
        <rFont val="Calibri"/>
        <family val="2"/>
        <scheme val="minor"/>
      </rPr>
      <t>VGL</t>
    </r>
  </si>
  <si>
    <r>
      <t>AACATAAV</t>
    </r>
    <r>
      <rPr>
        <sz val="11"/>
        <rFont val="Calibri"/>
        <family val="2"/>
        <scheme val="minor"/>
      </rPr>
      <t>S</t>
    </r>
    <r>
      <rPr>
        <sz val="11"/>
        <color rgb="FFFF0000"/>
        <rFont val="Calibri"/>
        <family val="2"/>
        <scheme val="minor"/>
      </rPr>
      <t>V</t>
    </r>
    <r>
      <rPr>
        <sz val="11"/>
        <rFont val="Calibri"/>
        <family val="2"/>
        <scheme val="minor"/>
      </rPr>
      <t>EEGVD</t>
    </r>
  </si>
  <si>
    <t>F 0,77</t>
  </si>
  <si>
    <t>G 0,83</t>
  </si>
  <si>
    <t>R 0,91</t>
  </si>
  <si>
    <r>
      <t>FP</t>
    </r>
    <r>
      <rPr>
        <sz val="11"/>
        <rFont val="Calibri"/>
        <family val="2"/>
        <scheme val="minor"/>
      </rPr>
      <t>DGETRDLFLTLLL</t>
    </r>
  </si>
  <si>
    <t>Y 1,12</t>
  </si>
  <si>
    <t>M 1,21</t>
  </si>
  <si>
    <t>K 1,23</t>
  </si>
  <si>
    <t>L 1,20</t>
  </si>
  <si>
    <r>
      <t>YG</t>
    </r>
    <r>
      <rPr>
        <sz val="11"/>
        <color rgb="FFFF0000"/>
        <rFont val="Calibri"/>
        <family val="2"/>
        <scheme val="minor"/>
      </rPr>
      <t>MLK</t>
    </r>
    <r>
      <rPr>
        <sz val="11"/>
        <rFont val="Calibri"/>
        <family val="2"/>
        <scheme val="minor"/>
      </rPr>
      <t>LLVSTEDLKL</t>
    </r>
  </si>
  <si>
    <t>R 0,99</t>
  </si>
  <si>
    <t>N 1,21</t>
  </si>
  <si>
    <t>G 1,33</t>
  </si>
  <si>
    <t>I 1,00</t>
  </si>
  <si>
    <t>D 0,91</t>
  </si>
  <si>
    <t>Q 1,02</t>
  </si>
  <si>
    <r>
      <t>R</t>
    </r>
    <r>
      <rPr>
        <sz val="11"/>
        <color rgb="FFFF0000"/>
        <rFont val="Calibri"/>
        <family val="2"/>
        <scheme val="minor"/>
      </rPr>
      <t>NGIY</t>
    </r>
    <r>
      <rPr>
        <sz val="11"/>
        <rFont val="Calibri"/>
        <family val="2"/>
        <scheme val="minor"/>
      </rPr>
      <t>IIDLQQTLTF</t>
    </r>
  </si>
  <si>
    <t>L 0,60</t>
  </si>
  <si>
    <t>R 0,59</t>
  </si>
  <si>
    <t>P 0,97</t>
  </si>
  <si>
    <t>M 0,90</t>
  </si>
  <si>
    <t>I 0,93</t>
  </si>
  <si>
    <r>
      <t>LRP</t>
    </r>
    <r>
      <rPr>
        <sz val="11"/>
        <rFont val="Calibri"/>
        <family val="2"/>
        <scheme val="minor"/>
      </rPr>
      <t>GPTMISDRKLAW</t>
    </r>
  </si>
  <si>
    <t>Y 1,21</t>
  </si>
  <si>
    <t>K 1,08</t>
  </si>
  <si>
    <t>Q 1,09</t>
  </si>
  <si>
    <r>
      <t>HR</t>
    </r>
    <r>
      <rPr>
        <sz val="11"/>
        <color rgb="FFFF0000"/>
        <rFont val="Calibri"/>
        <family val="2"/>
        <scheme val="minor"/>
      </rPr>
      <t>YF</t>
    </r>
    <r>
      <rPr>
        <sz val="11"/>
        <rFont val="Calibri"/>
        <family val="2"/>
        <scheme val="minor"/>
      </rPr>
      <t>LAAKQTEFALG</t>
    </r>
  </si>
  <si>
    <t>C 1,14</t>
  </si>
  <si>
    <r>
      <t>QTLQC</t>
    </r>
    <r>
      <rPr>
        <sz val="11"/>
        <color rgb="FFFF0000"/>
        <rFont val="Calibri"/>
        <family val="2"/>
        <scheme val="minor"/>
      </rPr>
      <t>I</t>
    </r>
    <r>
      <rPr>
        <sz val="11"/>
        <rFont val="Calibri"/>
        <family val="2"/>
        <scheme val="minor"/>
      </rPr>
      <t>YLS</t>
    </r>
    <r>
      <rPr>
        <sz val="11"/>
        <color rgb="FFFF0000"/>
        <rFont val="Calibri"/>
        <family val="2"/>
        <scheme val="minor"/>
      </rPr>
      <t>IEY</t>
    </r>
    <r>
      <rPr>
        <sz val="11"/>
        <rFont val="Calibri"/>
        <family val="2"/>
        <scheme val="minor"/>
      </rPr>
      <t>LYV</t>
    </r>
  </si>
  <si>
    <t>G 1,07</t>
  </si>
  <si>
    <t>N 1,14</t>
  </si>
  <si>
    <t>F 1,26</t>
  </si>
  <si>
    <t>E 1,05</t>
  </si>
  <si>
    <t>Q 1,06</t>
  </si>
  <si>
    <r>
      <t>KGTN</t>
    </r>
    <r>
      <rPr>
        <sz val="11"/>
        <color rgb="FFFF0000"/>
        <rFont val="Calibri"/>
        <family val="2"/>
        <scheme val="minor"/>
      </rPr>
      <t>AE</t>
    </r>
    <r>
      <rPr>
        <sz val="11"/>
        <rFont val="Calibri"/>
        <family val="2"/>
        <scheme val="minor"/>
      </rPr>
      <t>L</t>
    </r>
    <r>
      <rPr>
        <sz val="11"/>
        <color rgb="FFFF0000"/>
        <rFont val="Calibri"/>
        <family val="2"/>
        <scheme val="minor"/>
      </rPr>
      <t>FI</t>
    </r>
    <r>
      <rPr>
        <sz val="11"/>
        <rFont val="Calibri"/>
        <family val="2"/>
        <scheme val="minor"/>
      </rPr>
      <t>EQVTRM</t>
    </r>
  </si>
  <si>
    <t>C 1,15</t>
  </si>
  <si>
    <t>N 1,29</t>
  </si>
  <si>
    <t>M 1,36</t>
  </si>
  <si>
    <r>
      <t>HC</t>
    </r>
    <r>
      <rPr>
        <sz val="11"/>
        <color rgb="FFFF0000"/>
        <rFont val="Calibri"/>
        <family val="2"/>
        <scheme val="minor"/>
      </rPr>
      <t>ANMLV</t>
    </r>
    <r>
      <rPr>
        <sz val="11"/>
        <rFont val="Calibri"/>
        <family val="2"/>
        <scheme val="minor"/>
      </rPr>
      <t>A</t>
    </r>
    <r>
      <rPr>
        <sz val="11"/>
        <color rgb="FFFF0000"/>
        <rFont val="Calibri"/>
        <family val="2"/>
        <scheme val="minor"/>
      </rPr>
      <t>AESAI</t>
    </r>
    <r>
      <rPr>
        <sz val="11"/>
        <rFont val="Calibri"/>
        <family val="2"/>
        <scheme val="minor"/>
      </rPr>
      <t>AA</t>
    </r>
  </si>
  <si>
    <t>F 1,03</t>
  </si>
  <si>
    <t>W 1,22</t>
  </si>
  <si>
    <t>W 1,07</t>
  </si>
  <si>
    <r>
      <t>P</t>
    </r>
    <r>
      <rPr>
        <sz val="11"/>
        <rFont val="Calibri"/>
        <family val="2"/>
        <scheme val="minor"/>
      </rPr>
      <t>PFEGM</t>
    </r>
    <r>
      <rPr>
        <sz val="11"/>
        <color rgb="FFFF0000"/>
        <rFont val="Calibri"/>
        <family val="2"/>
        <scheme val="minor"/>
      </rPr>
      <t>W</t>
    </r>
    <r>
      <rPr>
        <sz val="11"/>
        <rFont val="Calibri"/>
        <family val="2"/>
        <scheme val="minor"/>
      </rPr>
      <t>WLYVPLAF</t>
    </r>
  </si>
  <si>
    <t>M 0,75</t>
  </si>
  <si>
    <t>D 0,73</t>
  </si>
  <si>
    <t>W 1,33</t>
  </si>
  <si>
    <t>A 0,88</t>
  </si>
  <si>
    <t>Q 0,85</t>
  </si>
  <si>
    <r>
      <t>MD</t>
    </r>
    <r>
      <rPr>
        <sz val="11"/>
        <rFont val="Calibri"/>
        <family val="2"/>
        <scheme val="minor"/>
      </rPr>
      <t>RFR</t>
    </r>
    <r>
      <rPr>
        <sz val="11"/>
        <color rgb="FFFF0000"/>
        <rFont val="Calibri"/>
        <family val="2"/>
        <scheme val="minor"/>
      </rPr>
      <t>WLV</t>
    </r>
    <r>
      <rPr>
        <sz val="11"/>
        <rFont val="Calibri"/>
        <family val="2"/>
        <scheme val="minor"/>
      </rPr>
      <t>AAQGGDL</t>
    </r>
  </si>
  <si>
    <t>P 0,95</t>
  </si>
  <si>
    <t>T 0,72</t>
  </si>
  <si>
    <t>C 0,68</t>
  </si>
  <si>
    <t>R 0,69</t>
  </si>
  <si>
    <r>
      <t>A</t>
    </r>
    <r>
      <rPr>
        <sz val="11"/>
        <rFont val="Calibri"/>
        <family val="2"/>
        <scheme val="minor"/>
      </rPr>
      <t>GMVTDPV</t>
    </r>
    <r>
      <rPr>
        <sz val="11"/>
        <color rgb="FF00FF00"/>
        <rFont val="Calibri"/>
        <family val="2"/>
        <scheme val="minor"/>
      </rPr>
      <t>TCRP</t>
    </r>
    <r>
      <rPr>
        <sz val="11"/>
        <rFont val="Calibri"/>
        <family val="2"/>
        <scheme val="minor"/>
      </rPr>
      <t>DNT</t>
    </r>
  </si>
  <si>
    <r>
      <t>AAHAS</t>
    </r>
    <r>
      <rPr>
        <sz val="11"/>
        <color rgb="FFFF0000"/>
        <rFont val="Calibri"/>
        <family val="2"/>
        <scheme val="minor"/>
      </rPr>
      <t>A</t>
    </r>
    <r>
      <rPr>
        <sz val="11"/>
        <rFont val="Calibri"/>
        <family val="2"/>
        <scheme val="minor"/>
      </rPr>
      <t>G</t>
    </r>
    <r>
      <rPr>
        <sz val="11"/>
        <color rgb="FFFF0000"/>
        <rFont val="Calibri"/>
        <family val="2"/>
        <scheme val="minor"/>
      </rPr>
      <t>AA</t>
    </r>
    <r>
      <rPr>
        <sz val="11"/>
        <rFont val="Calibri"/>
        <family val="2"/>
        <scheme val="minor"/>
      </rPr>
      <t>AS</t>
    </r>
    <r>
      <rPr>
        <sz val="11"/>
        <color rgb="FFFF0000"/>
        <rFont val="Calibri"/>
        <family val="2"/>
        <scheme val="minor"/>
      </rPr>
      <t>A</t>
    </r>
    <r>
      <rPr>
        <sz val="11"/>
        <rFont val="Calibri"/>
        <family val="2"/>
        <scheme val="minor"/>
      </rPr>
      <t>VSA</t>
    </r>
  </si>
  <si>
    <t>E 1,33</t>
  </si>
  <si>
    <t>V 1,37</t>
  </si>
  <si>
    <t>Y 1,06</t>
  </si>
  <si>
    <r>
      <t>AVLEEV</t>
    </r>
    <r>
      <rPr>
        <sz val="11"/>
        <rFont val="Calibri"/>
        <family val="2"/>
        <scheme val="minor"/>
      </rPr>
      <t>IYLLDTVGE</t>
    </r>
  </si>
  <si>
    <t>S 1,31</t>
  </si>
  <si>
    <t>E 1,52</t>
  </si>
  <si>
    <t>L 1,62</t>
  </si>
  <si>
    <r>
      <t>GYGL</t>
    </r>
    <r>
      <rPr>
        <sz val="11"/>
        <color rgb="FFFF0000"/>
        <rFont val="Calibri"/>
        <family val="2"/>
        <scheme val="minor"/>
      </rPr>
      <t>SELVVV</t>
    </r>
    <r>
      <rPr>
        <sz val="11"/>
        <rFont val="Calibri"/>
        <family val="2"/>
        <scheme val="minor"/>
      </rPr>
      <t>IEELG</t>
    </r>
  </si>
  <si>
    <t>H 1,06</t>
  </si>
  <si>
    <t>N 1,03</t>
  </si>
  <si>
    <t>R 1,37</t>
  </si>
  <si>
    <r>
      <t>HQHVNG</t>
    </r>
    <r>
      <rPr>
        <sz val="11"/>
        <color rgb="FFFF0000"/>
        <rFont val="Calibri"/>
        <family val="2"/>
        <scheme val="minor"/>
      </rPr>
      <t>YRV</t>
    </r>
    <r>
      <rPr>
        <sz val="11"/>
        <rFont val="Calibri"/>
        <family val="2"/>
        <scheme val="minor"/>
      </rPr>
      <t>E</t>
    </r>
    <r>
      <rPr>
        <sz val="11"/>
        <color rgb="FFFF0000"/>
        <rFont val="Calibri"/>
        <family val="2"/>
        <scheme val="minor"/>
      </rPr>
      <t>V</t>
    </r>
    <r>
      <rPr>
        <sz val="11"/>
        <rFont val="Calibri"/>
        <family val="2"/>
        <scheme val="minor"/>
      </rPr>
      <t>VEPL</t>
    </r>
  </si>
  <si>
    <r>
      <t>A</t>
    </r>
    <r>
      <rPr>
        <sz val="11"/>
        <rFont val="Calibri"/>
        <family val="2"/>
        <scheme val="minor"/>
      </rPr>
      <t>ALLARLDEAITSPA</t>
    </r>
  </si>
  <si>
    <t>Y 1,25</t>
  </si>
  <si>
    <t>V 1,04</t>
  </si>
  <si>
    <t>N 0,74</t>
  </si>
  <si>
    <t>H 0,67</t>
  </si>
  <si>
    <r>
      <t>C</t>
    </r>
    <r>
      <rPr>
        <sz val="11"/>
        <color rgb="FFFF0000"/>
        <rFont val="Calibri"/>
        <family val="2"/>
        <scheme val="minor"/>
      </rPr>
      <t>EY</t>
    </r>
    <r>
      <rPr>
        <sz val="11"/>
        <rFont val="Calibri"/>
        <family val="2"/>
        <scheme val="minor"/>
      </rPr>
      <t>FAV</t>
    </r>
    <r>
      <rPr>
        <sz val="11"/>
        <color rgb="FF00FF00"/>
        <rFont val="Calibri"/>
        <family val="2"/>
        <scheme val="minor"/>
      </rPr>
      <t>NH</t>
    </r>
    <r>
      <rPr>
        <sz val="11"/>
        <rFont val="Calibri"/>
        <family val="2"/>
        <scheme val="minor"/>
      </rPr>
      <t>STPDALA</t>
    </r>
  </si>
  <si>
    <t>M 1,18</t>
  </si>
  <si>
    <t>W 1,29</t>
  </si>
  <si>
    <t>I 1,42</t>
  </si>
  <si>
    <r>
      <t>VVA</t>
    </r>
    <r>
      <rPr>
        <sz val="11"/>
        <rFont val="Calibri"/>
        <family val="2"/>
        <scheme val="minor"/>
      </rPr>
      <t>MF</t>
    </r>
    <r>
      <rPr>
        <sz val="11"/>
        <color rgb="FFFF0000"/>
        <rFont val="Calibri"/>
        <family val="2"/>
        <scheme val="minor"/>
      </rPr>
      <t>ALTWAIA</t>
    </r>
    <r>
      <rPr>
        <sz val="11"/>
        <rFont val="Calibri"/>
        <family val="2"/>
        <scheme val="minor"/>
      </rPr>
      <t>LLV</t>
    </r>
  </si>
  <si>
    <t>R 0,82</t>
  </si>
  <si>
    <t>T 0,78</t>
  </si>
  <si>
    <t>T 0,65</t>
  </si>
  <si>
    <t>E 0,51</t>
  </si>
  <si>
    <t>P 0,45</t>
  </si>
  <si>
    <t>P 0,56</t>
  </si>
  <si>
    <t>R 0,60</t>
  </si>
  <si>
    <t>G 0,78</t>
  </si>
  <si>
    <r>
      <t>R</t>
    </r>
    <r>
      <rPr>
        <sz val="11"/>
        <color rgb="FF00FF00"/>
        <rFont val="Calibri"/>
        <family val="2"/>
        <scheme val="minor"/>
      </rPr>
      <t>TTEPPRR</t>
    </r>
    <r>
      <rPr>
        <sz val="11"/>
        <rFont val="Calibri"/>
        <family val="2"/>
        <scheme val="minor"/>
      </rPr>
      <t>G</t>
    </r>
    <r>
      <rPr>
        <sz val="11"/>
        <color rgb="FF00FF00"/>
        <rFont val="Calibri"/>
        <family val="2"/>
        <scheme val="minor"/>
      </rPr>
      <t>GR</t>
    </r>
    <r>
      <rPr>
        <sz val="11"/>
        <rFont val="Calibri"/>
        <family val="2"/>
        <scheme val="minor"/>
      </rPr>
      <t>GA</t>
    </r>
    <r>
      <rPr>
        <sz val="11"/>
        <color rgb="FF00FF00"/>
        <rFont val="Calibri"/>
        <family val="2"/>
        <scheme val="minor"/>
      </rPr>
      <t>R</t>
    </r>
    <r>
      <rPr>
        <sz val="11"/>
        <rFont val="Calibri"/>
        <family val="2"/>
        <scheme val="minor"/>
      </rPr>
      <t>Q</t>
    </r>
  </si>
  <si>
    <t>Q 0,96</t>
  </si>
  <si>
    <t>L 0,94</t>
  </si>
  <si>
    <t>W 0,79</t>
  </si>
  <si>
    <t>D 0,80</t>
  </si>
  <si>
    <t>E 0,86</t>
  </si>
  <si>
    <r>
      <t>QML</t>
    </r>
    <r>
      <rPr>
        <sz val="11"/>
        <color rgb="FF00FF00"/>
        <rFont val="Calibri"/>
        <family val="2"/>
        <scheme val="minor"/>
      </rPr>
      <t>W</t>
    </r>
    <r>
      <rPr>
        <sz val="11"/>
        <rFont val="Calibri"/>
        <family val="2"/>
        <scheme val="minor"/>
      </rPr>
      <t>DPIRFDET</t>
    </r>
    <r>
      <rPr>
        <sz val="11"/>
        <color rgb="FF00FF00"/>
        <rFont val="Calibri"/>
        <family val="2"/>
        <scheme val="minor"/>
      </rPr>
      <t>CP</t>
    </r>
    <r>
      <rPr>
        <sz val="11"/>
        <rFont val="Calibri"/>
        <family val="2"/>
        <scheme val="minor"/>
      </rPr>
      <t>S</t>
    </r>
  </si>
  <si>
    <t>C 1,23</t>
  </si>
  <si>
    <t>V 0,87</t>
  </si>
  <si>
    <t>R 0,57</t>
  </si>
  <si>
    <t>Q 0,72</t>
  </si>
  <si>
    <t>P 0,65</t>
  </si>
  <si>
    <t>F 0,83</t>
  </si>
  <si>
    <t>L 0,82</t>
  </si>
  <si>
    <r>
      <t>C</t>
    </r>
    <r>
      <rPr>
        <sz val="11"/>
        <rFont val="Calibri"/>
        <family val="2"/>
        <scheme val="minor"/>
      </rPr>
      <t>EYFV</t>
    </r>
    <r>
      <rPr>
        <sz val="11"/>
        <color rgb="FF00FF00"/>
        <rFont val="Calibri"/>
        <family val="2"/>
        <scheme val="minor"/>
      </rPr>
      <t>RQP</t>
    </r>
    <r>
      <rPr>
        <sz val="11"/>
        <rFont val="Calibri"/>
        <family val="2"/>
        <scheme val="minor"/>
      </rPr>
      <t>F</t>
    </r>
    <r>
      <rPr>
        <sz val="11"/>
        <color rgb="FF00FF00"/>
        <rFont val="Calibri"/>
        <family val="2"/>
        <scheme val="minor"/>
      </rPr>
      <t>P</t>
    </r>
    <r>
      <rPr>
        <sz val="11"/>
        <rFont val="Calibri"/>
        <family val="2"/>
        <scheme val="minor"/>
      </rPr>
      <t>L</t>
    </r>
    <r>
      <rPr>
        <sz val="11"/>
        <color rgb="FF00FF00"/>
        <rFont val="Calibri"/>
        <family val="2"/>
        <scheme val="minor"/>
      </rPr>
      <t>R</t>
    </r>
    <r>
      <rPr>
        <sz val="11"/>
        <rFont val="Calibri"/>
        <family val="2"/>
        <scheme val="minor"/>
      </rPr>
      <t>T</t>
    </r>
    <r>
      <rPr>
        <sz val="11"/>
        <color rgb="FF00FF00"/>
        <rFont val="Calibri"/>
        <family val="2"/>
        <scheme val="minor"/>
      </rPr>
      <t>R</t>
    </r>
    <r>
      <rPr>
        <sz val="11"/>
        <rFont val="Calibri"/>
        <family val="2"/>
        <scheme val="minor"/>
      </rPr>
      <t>G</t>
    </r>
  </si>
  <si>
    <t>M 1,04</t>
  </si>
  <si>
    <t>V 1,14</t>
  </si>
  <si>
    <r>
      <t>DAFMS</t>
    </r>
    <r>
      <rPr>
        <sz val="11"/>
        <color rgb="FFFF0000"/>
        <rFont val="Calibri"/>
        <family val="2"/>
        <scheme val="minor"/>
      </rPr>
      <t>L</t>
    </r>
    <r>
      <rPr>
        <sz val="11"/>
        <rFont val="Calibri"/>
        <family val="2"/>
        <scheme val="minor"/>
      </rPr>
      <t>AGFVRMLEA</t>
    </r>
  </si>
  <si>
    <t>P 0,89</t>
  </si>
  <si>
    <t>H 1,16</t>
  </si>
  <si>
    <t>R 1,25</t>
  </si>
  <si>
    <t>E 0,66</t>
  </si>
  <si>
    <t>F 0,68</t>
  </si>
  <si>
    <t>D 0,52</t>
  </si>
  <si>
    <r>
      <t>PAH</t>
    </r>
    <r>
      <rPr>
        <sz val="11"/>
        <color rgb="FFFF0000"/>
        <rFont val="Calibri"/>
        <family val="2"/>
        <scheme val="minor"/>
      </rPr>
      <t>RV</t>
    </r>
    <r>
      <rPr>
        <sz val="11"/>
        <rFont val="Calibri"/>
        <family val="2"/>
        <scheme val="minor"/>
      </rPr>
      <t>AI</t>
    </r>
    <r>
      <rPr>
        <sz val="11"/>
        <color rgb="FF00FF00"/>
        <rFont val="Calibri"/>
        <family val="2"/>
        <scheme val="minor"/>
      </rPr>
      <t>EFDPPLPP</t>
    </r>
  </si>
  <si>
    <t>Y 1,18</t>
  </si>
  <si>
    <t>E 1,18</t>
  </si>
  <si>
    <t>E 1,19</t>
  </si>
  <si>
    <t>E 1,24</t>
  </si>
  <si>
    <r>
      <t>NY</t>
    </r>
    <r>
      <rPr>
        <sz val="11"/>
        <color rgb="FFFF0000"/>
        <rFont val="Calibri"/>
        <family val="2"/>
        <scheme val="minor"/>
      </rPr>
      <t>A</t>
    </r>
    <r>
      <rPr>
        <sz val="11"/>
        <rFont val="Calibri"/>
        <family val="2"/>
        <scheme val="minor"/>
      </rPr>
      <t>ELTAE</t>
    </r>
    <r>
      <rPr>
        <sz val="11"/>
        <color rgb="FFFF0000"/>
        <rFont val="Calibri"/>
        <family val="2"/>
        <scheme val="minor"/>
      </rPr>
      <t>LE</t>
    </r>
    <r>
      <rPr>
        <sz val="11"/>
        <rFont val="Calibri"/>
        <family val="2"/>
        <scheme val="minor"/>
      </rPr>
      <t>LALAS</t>
    </r>
  </si>
  <si>
    <t>L 1,41</t>
  </si>
  <si>
    <r>
      <t>LLV</t>
    </r>
    <r>
      <rPr>
        <sz val="11"/>
        <rFont val="Calibri"/>
        <family val="2"/>
        <scheme val="minor"/>
      </rPr>
      <t>LVYSLLYYRVLG</t>
    </r>
  </si>
  <si>
    <t>G 0,87</t>
  </si>
  <si>
    <t>M 0,95</t>
  </si>
  <si>
    <t>F 0,95</t>
  </si>
  <si>
    <t>M 1,16</t>
  </si>
  <si>
    <t>D 1,10</t>
  </si>
  <si>
    <t>D 1,24</t>
  </si>
  <si>
    <r>
      <t>AA</t>
    </r>
    <r>
      <rPr>
        <sz val="11"/>
        <color rgb="FFFF0000"/>
        <rFont val="Calibri"/>
        <family val="2"/>
        <scheme val="minor"/>
      </rPr>
      <t>AADAV</t>
    </r>
    <r>
      <rPr>
        <sz val="11"/>
        <rFont val="Calibri"/>
        <family val="2"/>
        <scheme val="minor"/>
      </rPr>
      <t>AEADAELK</t>
    </r>
  </si>
  <si>
    <t>Q 1,36</t>
  </si>
  <si>
    <t>T 1,34</t>
  </si>
  <si>
    <t>T 1,20</t>
  </si>
  <si>
    <r>
      <t>AQTV</t>
    </r>
    <r>
      <rPr>
        <sz val="11"/>
        <rFont val="Calibri"/>
        <family val="2"/>
        <scheme val="minor"/>
      </rPr>
      <t>VAST</t>
    </r>
    <r>
      <rPr>
        <sz val="11"/>
        <color rgb="FFFF0000"/>
        <rFont val="Calibri"/>
        <family val="2"/>
        <scheme val="minor"/>
      </rPr>
      <t>NNAI</t>
    </r>
    <r>
      <rPr>
        <sz val="11"/>
        <rFont val="Calibri"/>
        <family val="2"/>
        <scheme val="minor"/>
      </rPr>
      <t>IAT</t>
    </r>
  </si>
  <si>
    <t>L 1,42</t>
  </si>
  <si>
    <t>I 1,25</t>
  </si>
  <si>
    <t>V 0,88</t>
  </si>
  <si>
    <t>Q 0,67</t>
  </si>
  <si>
    <t>A 0,86</t>
  </si>
  <si>
    <r>
      <t>D</t>
    </r>
    <r>
      <rPr>
        <sz val="11"/>
        <color rgb="FFFF0000"/>
        <rFont val="Calibri"/>
        <family val="2"/>
        <scheme val="minor"/>
      </rPr>
      <t>LVI</t>
    </r>
    <r>
      <rPr>
        <sz val="11"/>
        <rFont val="Calibri"/>
        <family val="2"/>
        <scheme val="minor"/>
      </rPr>
      <t>QV</t>
    </r>
    <r>
      <rPr>
        <sz val="11"/>
        <color rgb="FF00FF00"/>
        <rFont val="Calibri"/>
        <family val="2"/>
        <scheme val="minor"/>
      </rPr>
      <t>Q</t>
    </r>
    <r>
      <rPr>
        <sz val="11"/>
        <rFont val="Calibri"/>
        <family val="2"/>
        <scheme val="minor"/>
      </rPr>
      <t>APPSVASG</t>
    </r>
  </si>
  <si>
    <t>G 1,15</t>
  </si>
  <si>
    <t>G 1,24</t>
  </si>
  <si>
    <r>
      <t>AG</t>
    </r>
    <r>
      <rPr>
        <sz val="11"/>
        <color rgb="FFFF0000"/>
        <rFont val="Calibri"/>
        <family val="2"/>
        <scheme val="minor"/>
      </rPr>
      <t>A</t>
    </r>
    <r>
      <rPr>
        <sz val="11"/>
        <rFont val="Calibri"/>
        <family val="2"/>
        <scheme val="minor"/>
      </rPr>
      <t>I</t>
    </r>
    <r>
      <rPr>
        <sz val="11"/>
        <color rgb="FFFF0000"/>
        <rFont val="Calibri"/>
        <family val="2"/>
        <scheme val="minor"/>
      </rPr>
      <t>GLLLV</t>
    </r>
    <r>
      <rPr>
        <sz val="11"/>
        <rFont val="Calibri"/>
        <family val="2"/>
        <scheme val="minor"/>
      </rPr>
      <t>LVYSLL</t>
    </r>
  </si>
  <si>
    <t>N 0,95</t>
  </si>
  <si>
    <t>R 0,93</t>
  </si>
  <si>
    <t>L 0,95</t>
  </si>
  <si>
    <t>R 1,08</t>
  </si>
  <si>
    <r>
      <t>FNLLTDGN</t>
    </r>
    <r>
      <rPr>
        <sz val="11"/>
        <color rgb="FFFF0000"/>
        <rFont val="Calibri"/>
        <family val="2"/>
        <scheme val="minor"/>
      </rPr>
      <t>I</t>
    </r>
    <r>
      <rPr>
        <sz val="11"/>
        <rFont val="Calibri"/>
        <family val="2"/>
        <scheme val="minor"/>
      </rPr>
      <t>ARAVWG</t>
    </r>
  </si>
  <si>
    <t>H 1,32</t>
  </si>
  <si>
    <t>D 1,43</t>
  </si>
  <si>
    <t>L 0,74</t>
  </si>
  <si>
    <t>S 0,64</t>
  </si>
  <si>
    <t>R 0,66</t>
  </si>
  <si>
    <r>
      <t>AAG</t>
    </r>
    <r>
      <rPr>
        <sz val="11"/>
        <color rgb="FFFF0000"/>
        <rFont val="Calibri"/>
        <family val="2"/>
        <scheme val="minor"/>
      </rPr>
      <t>HDV</t>
    </r>
    <r>
      <rPr>
        <sz val="11"/>
        <rFont val="Calibri"/>
        <family val="2"/>
        <scheme val="minor"/>
      </rPr>
      <t>VV</t>
    </r>
    <r>
      <rPr>
        <sz val="11"/>
        <color rgb="FF00FF00"/>
        <rFont val="Calibri"/>
        <family val="2"/>
        <scheme val="minor"/>
      </rPr>
      <t>LSRCP</t>
    </r>
    <r>
      <rPr>
        <sz val="11"/>
        <rFont val="Calibri"/>
        <family val="2"/>
        <scheme val="minor"/>
      </rPr>
      <t>SG</t>
    </r>
  </si>
  <si>
    <t>Q 1,28</t>
  </si>
  <si>
    <t>K 1,51</t>
  </si>
  <si>
    <t>A 1,01</t>
  </si>
  <si>
    <t>T 0,97</t>
  </si>
  <si>
    <t>S 0,98</t>
  </si>
  <si>
    <r>
      <t>G</t>
    </r>
    <r>
      <rPr>
        <sz val="11"/>
        <color rgb="FFFF0000"/>
        <rFont val="Calibri"/>
        <family val="2"/>
        <scheme val="minor"/>
      </rPr>
      <t>QLKAV</t>
    </r>
    <r>
      <rPr>
        <sz val="11"/>
        <rFont val="Calibri"/>
        <family val="2"/>
        <scheme val="minor"/>
      </rPr>
      <t>VATSSLELG</t>
    </r>
  </si>
  <si>
    <t>H 1,26</t>
  </si>
  <si>
    <r>
      <t>D</t>
    </r>
    <r>
      <rPr>
        <sz val="11"/>
        <color rgb="FFFF0000"/>
        <rFont val="Calibri"/>
        <family val="2"/>
        <scheme val="minor"/>
      </rPr>
      <t>HFVVF</t>
    </r>
    <r>
      <rPr>
        <sz val="11"/>
        <rFont val="Calibri"/>
        <family val="2"/>
        <scheme val="minor"/>
      </rPr>
      <t>G</t>
    </r>
    <r>
      <rPr>
        <sz val="11"/>
        <color rgb="FFFF0000"/>
        <rFont val="Calibri"/>
        <family val="2"/>
        <scheme val="minor"/>
      </rPr>
      <t>A</t>
    </r>
    <r>
      <rPr>
        <sz val="11"/>
        <rFont val="Calibri"/>
        <family val="2"/>
        <scheme val="minor"/>
      </rPr>
      <t>VESLSEV</t>
    </r>
  </si>
  <si>
    <t>I 1,24</t>
  </si>
  <si>
    <t>R 0,72</t>
  </si>
  <si>
    <r>
      <t>AADR</t>
    </r>
    <r>
      <rPr>
        <sz val="11"/>
        <color rgb="FFFF0000"/>
        <rFont val="Calibri"/>
        <family val="2"/>
        <scheme val="minor"/>
      </rPr>
      <t>I</t>
    </r>
    <r>
      <rPr>
        <sz val="11"/>
        <rFont val="Calibri"/>
        <family val="2"/>
        <scheme val="minor"/>
      </rPr>
      <t>IDLL</t>
    </r>
    <r>
      <rPr>
        <sz val="11"/>
        <color rgb="FF00FF00"/>
        <rFont val="Calibri"/>
        <family val="2"/>
        <scheme val="minor"/>
      </rPr>
      <t>SR</t>
    </r>
    <r>
      <rPr>
        <sz val="11"/>
        <rFont val="Calibri"/>
        <family val="2"/>
        <scheme val="minor"/>
      </rPr>
      <t>A</t>
    </r>
    <r>
      <rPr>
        <sz val="11"/>
        <color rgb="FF00FF00"/>
        <rFont val="Calibri"/>
        <family val="2"/>
        <scheme val="minor"/>
      </rPr>
      <t>R</t>
    </r>
    <r>
      <rPr>
        <sz val="11"/>
        <rFont val="Calibri"/>
        <family val="2"/>
        <scheme val="minor"/>
      </rPr>
      <t>DS</t>
    </r>
  </si>
  <si>
    <t>W 1,23</t>
  </si>
  <si>
    <t>W 1,18</t>
  </si>
  <si>
    <t>I 1,36</t>
  </si>
  <si>
    <r>
      <t>P</t>
    </r>
    <r>
      <rPr>
        <sz val="11"/>
        <rFont val="Calibri"/>
        <family val="2"/>
        <scheme val="minor"/>
      </rPr>
      <t>PNF</t>
    </r>
    <r>
      <rPr>
        <sz val="11"/>
        <color rgb="FFFF0000"/>
        <rFont val="Calibri"/>
        <family val="2"/>
        <scheme val="minor"/>
      </rPr>
      <t>WA</t>
    </r>
    <r>
      <rPr>
        <sz val="11"/>
        <rFont val="Calibri"/>
        <family val="2"/>
        <scheme val="minor"/>
      </rPr>
      <t>W</t>
    </r>
    <r>
      <rPr>
        <sz val="11"/>
        <color rgb="FFFF0000"/>
        <rFont val="Calibri"/>
        <family val="2"/>
        <scheme val="minor"/>
      </rPr>
      <t>LIAQVK</t>
    </r>
    <r>
      <rPr>
        <sz val="11"/>
        <rFont val="Calibri"/>
        <family val="2"/>
        <scheme val="minor"/>
      </rPr>
      <t>TV</t>
    </r>
  </si>
  <si>
    <r>
      <t>GYAG</t>
    </r>
    <r>
      <rPr>
        <sz val="11"/>
        <color rgb="FFFF0000"/>
        <rFont val="Calibri"/>
        <family val="2"/>
        <scheme val="minor"/>
      </rPr>
      <t>A</t>
    </r>
    <r>
      <rPr>
        <sz val="11"/>
        <rFont val="Calibri"/>
        <family val="2"/>
        <scheme val="minor"/>
      </rPr>
      <t>SAAAT</t>
    </r>
    <r>
      <rPr>
        <sz val="11"/>
        <color rgb="FF00FF00"/>
        <rFont val="Calibri"/>
        <family val="2"/>
        <scheme val="minor"/>
      </rPr>
      <t>P</t>
    </r>
    <r>
      <rPr>
        <sz val="11"/>
        <rFont val="Calibri"/>
        <family val="2"/>
        <scheme val="minor"/>
      </rPr>
      <t>LTPF</t>
    </r>
  </si>
  <si>
    <t>H 1,15</t>
  </si>
  <si>
    <r>
      <t>DHF</t>
    </r>
    <r>
      <rPr>
        <sz val="11"/>
        <color rgb="FFFF0000"/>
        <rFont val="Calibri"/>
        <family val="2"/>
        <scheme val="minor"/>
      </rPr>
      <t>VLF</t>
    </r>
    <r>
      <rPr>
        <sz val="11"/>
        <rFont val="Calibri"/>
        <family val="2"/>
        <scheme val="minor"/>
      </rPr>
      <t>G</t>
    </r>
    <r>
      <rPr>
        <sz val="11"/>
        <color rgb="FFFF0000"/>
        <rFont val="Calibri"/>
        <family val="2"/>
        <scheme val="minor"/>
      </rPr>
      <t>A</t>
    </r>
    <r>
      <rPr>
        <sz val="11"/>
        <rFont val="Calibri"/>
        <family val="2"/>
        <scheme val="minor"/>
      </rPr>
      <t>VESLSEV</t>
    </r>
  </si>
  <si>
    <t>M 1,19</t>
  </si>
  <si>
    <t>D 1,34</t>
  </si>
  <si>
    <r>
      <t>AM</t>
    </r>
    <r>
      <rPr>
        <sz val="11"/>
        <color rgb="FFFF0000"/>
        <rFont val="Calibri"/>
        <family val="2"/>
        <scheme val="minor"/>
      </rPr>
      <t>FLLAIVVDVV</t>
    </r>
    <r>
      <rPr>
        <sz val="11"/>
        <rFont val="Calibri"/>
        <family val="2"/>
        <scheme val="minor"/>
      </rPr>
      <t>INL</t>
    </r>
  </si>
  <si>
    <t>A 1,60</t>
  </si>
  <si>
    <t>V 1,51</t>
  </si>
  <si>
    <r>
      <t>AIVVAAIAAVVAV</t>
    </r>
    <r>
      <rPr>
        <sz val="11"/>
        <rFont val="Calibri"/>
        <family val="2"/>
        <scheme val="minor"/>
      </rPr>
      <t>AA</t>
    </r>
  </si>
  <si>
    <t>H 0,72</t>
  </si>
  <si>
    <t>I 0,91</t>
  </si>
  <si>
    <t>D 0,96</t>
  </si>
  <si>
    <r>
      <t>H</t>
    </r>
    <r>
      <rPr>
        <sz val="11"/>
        <rFont val="Calibri"/>
        <family val="2"/>
        <scheme val="minor"/>
      </rPr>
      <t>PSLGTI</t>
    </r>
    <r>
      <rPr>
        <sz val="11"/>
        <color rgb="FF00FF00"/>
        <rFont val="Calibri"/>
        <family val="2"/>
        <scheme val="minor"/>
      </rPr>
      <t>D</t>
    </r>
    <r>
      <rPr>
        <sz val="11"/>
        <rFont val="Calibri"/>
        <family val="2"/>
        <scheme val="minor"/>
      </rPr>
      <t>DFDDFVS</t>
    </r>
  </si>
  <si>
    <r>
      <t>GYAG</t>
    </r>
    <r>
      <rPr>
        <sz val="11"/>
        <color rgb="FFFF0000"/>
        <rFont val="Calibri"/>
        <family val="2"/>
        <scheme val="minor"/>
      </rPr>
      <t>A</t>
    </r>
    <r>
      <rPr>
        <sz val="11"/>
        <rFont val="Calibri"/>
        <family val="2"/>
        <scheme val="minor"/>
      </rPr>
      <t>SAAATQLTPF</t>
    </r>
  </si>
  <si>
    <t>N 0,87</t>
  </si>
  <si>
    <t>N 0,90</t>
  </si>
  <si>
    <t>N 0,92</t>
  </si>
  <si>
    <t>L 1,36</t>
  </si>
  <si>
    <t>G 1,32</t>
  </si>
  <si>
    <r>
      <t>D</t>
    </r>
    <r>
      <rPr>
        <sz val="11"/>
        <color rgb="FFFF0000"/>
        <rFont val="Calibri"/>
        <family val="2"/>
        <scheme val="minor"/>
      </rPr>
      <t>LTAAVVGAAA</t>
    </r>
    <r>
      <rPr>
        <sz val="11"/>
        <rFont val="Calibri"/>
        <family val="2"/>
        <scheme val="minor"/>
      </rPr>
      <t>VGYL</t>
    </r>
  </si>
  <si>
    <t>T 1,42</t>
  </si>
  <si>
    <t>G 1,31</t>
  </si>
  <si>
    <t>H 1,23</t>
  </si>
  <si>
    <r>
      <t>ATGVVIHVV</t>
    </r>
    <r>
      <rPr>
        <sz val="11"/>
        <rFont val="Calibri"/>
        <family val="2"/>
        <scheme val="minor"/>
      </rPr>
      <t>AD</t>
    </r>
    <r>
      <rPr>
        <sz val="11"/>
        <color rgb="FFFF0000"/>
        <rFont val="Calibri"/>
        <family val="2"/>
        <scheme val="minor"/>
      </rPr>
      <t>A</t>
    </r>
    <r>
      <rPr>
        <sz val="11"/>
        <rFont val="Calibri"/>
        <family val="2"/>
        <scheme val="minor"/>
      </rPr>
      <t>AAL</t>
    </r>
  </si>
  <si>
    <t>S 1,18</t>
  </si>
  <si>
    <r>
      <t>TLADLEDM</t>
    </r>
    <r>
      <rPr>
        <sz val="11"/>
        <color rgb="FFFF0000"/>
        <rFont val="Calibri"/>
        <family val="2"/>
        <scheme val="minor"/>
      </rPr>
      <t>A</t>
    </r>
    <r>
      <rPr>
        <sz val="11"/>
        <rFont val="Calibri"/>
        <family val="2"/>
        <scheme val="minor"/>
      </rPr>
      <t>SAWVEH</t>
    </r>
  </si>
  <si>
    <t>D 1,30</t>
  </si>
  <si>
    <r>
      <t>DDQ</t>
    </r>
    <r>
      <rPr>
        <sz val="11"/>
        <color rgb="FFFF0000"/>
        <rFont val="Calibri"/>
        <family val="2"/>
        <scheme val="minor"/>
      </rPr>
      <t>LL</t>
    </r>
    <r>
      <rPr>
        <sz val="11"/>
        <rFont val="Calibri"/>
        <family val="2"/>
        <scheme val="minor"/>
      </rPr>
      <t>AWAAD</t>
    </r>
    <r>
      <rPr>
        <sz val="11"/>
        <color rgb="FFFF0000"/>
        <rFont val="Calibri"/>
        <family val="2"/>
        <scheme val="minor"/>
      </rPr>
      <t>DLV</t>
    </r>
    <r>
      <rPr>
        <sz val="11"/>
        <rFont val="Calibri"/>
        <family val="2"/>
        <scheme val="minor"/>
      </rPr>
      <t>TV</t>
    </r>
  </si>
  <si>
    <t>Y 1,31</t>
  </si>
  <si>
    <t>F 1,44</t>
  </si>
  <si>
    <t>W 1,58</t>
  </si>
  <si>
    <r>
      <t>FSVGWLYW</t>
    </r>
    <r>
      <rPr>
        <sz val="11"/>
        <color rgb="FFFF0000"/>
        <rFont val="Calibri"/>
        <family val="2"/>
        <scheme val="minor"/>
      </rPr>
      <t>YFWVIV</t>
    </r>
    <r>
      <rPr>
        <sz val="11"/>
        <rFont val="Calibri"/>
        <family val="2"/>
        <scheme val="minor"/>
      </rPr>
      <t>V</t>
    </r>
  </si>
  <si>
    <r>
      <t>TLADLEDI</t>
    </r>
    <r>
      <rPr>
        <sz val="11"/>
        <color rgb="FFFF0000"/>
        <rFont val="Calibri"/>
        <family val="2"/>
        <scheme val="minor"/>
      </rPr>
      <t>A</t>
    </r>
    <r>
      <rPr>
        <sz val="11"/>
        <rFont val="Calibri"/>
        <family val="2"/>
        <scheme val="minor"/>
      </rPr>
      <t>SAWVEH</t>
    </r>
  </si>
  <si>
    <t>M 1,12</t>
  </si>
  <si>
    <t>M 0,70</t>
  </si>
  <si>
    <t>T 0,70</t>
  </si>
  <si>
    <t>S 0,56</t>
  </si>
  <si>
    <t>P 0,69</t>
  </si>
  <si>
    <t>P 0,91</t>
  </si>
  <si>
    <r>
      <t>AWLI</t>
    </r>
    <r>
      <rPr>
        <sz val="11"/>
        <rFont val="Calibri"/>
        <family val="2"/>
        <scheme val="minor"/>
      </rPr>
      <t>ML</t>
    </r>
    <r>
      <rPr>
        <sz val="11"/>
        <color rgb="FF00FF00"/>
        <rFont val="Calibri"/>
        <family val="2"/>
        <scheme val="minor"/>
      </rPr>
      <t>MTSP</t>
    </r>
    <r>
      <rPr>
        <sz val="11"/>
        <rFont val="Calibri"/>
        <family val="2"/>
        <scheme val="minor"/>
      </rPr>
      <t>PTRAA</t>
    </r>
  </si>
  <si>
    <t>E 1,44</t>
  </si>
  <si>
    <t>G 1,35</t>
  </si>
  <si>
    <r>
      <t>CE</t>
    </r>
    <r>
      <rPr>
        <sz val="11"/>
        <color rgb="FFFF0000"/>
        <rFont val="Calibri"/>
        <family val="2"/>
        <scheme val="minor"/>
      </rPr>
      <t>QEGVVV</t>
    </r>
    <r>
      <rPr>
        <sz val="11"/>
        <rFont val="Calibri"/>
        <family val="2"/>
        <scheme val="minor"/>
      </rPr>
      <t>DDAVYPL</t>
    </r>
  </si>
  <si>
    <t>N 0,76</t>
  </si>
  <si>
    <t>L 0,81</t>
  </si>
  <si>
    <r>
      <t>TALGASIT</t>
    </r>
    <r>
      <rPr>
        <sz val="11"/>
        <color rgb="FF00FF00"/>
        <rFont val="Calibri"/>
        <family val="2"/>
        <scheme val="minor"/>
      </rPr>
      <t>N</t>
    </r>
    <r>
      <rPr>
        <sz val="11"/>
        <rFont val="Calibri"/>
        <family val="2"/>
        <scheme val="minor"/>
      </rPr>
      <t>LSSPLV</t>
    </r>
  </si>
  <si>
    <t>S 1,30</t>
  </si>
  <si>
    <r>
      <t>AGWLG</t>
    </r>
    <r>
      <rPr>
        <sz val="11"/>
        <color rgb="FFFF0000"/>
        <rFont val="Calibri"/>
        <family val="2"/>
        <scheme val="minor"/>
      </rPr>
      <t>SVAAAAEA</t>
    </r>
    <r>
      <rPr>
        <sz val="11"/>
        <rFont val="Calibri"/>
        <family val="2"/>
        <scheme val="minor"/>
      </rPr>
      <t>VA</t>
    </r>
  </si>
  <si>
    <r>
      <t>MSQLSFF</t>
    </r>
    <r>
      <rPr>
        <sz val="11"/>
        <color rgb="FFFF0000"/>
        <rFont val="Calibri"/>
        <family val="2"/>
        <scheme val="minor"/>
      </rPr>
      <t>A</t>
    </r>
    <r>
      <rPr>
        <sz val="11"/>
        <rFont val="Calibri"/>
        <family val="2"/>
        <scheme val="minor"/>
      </rPr>
      <t>AE</t>
    </r>
    <r>
      <rPr>
        <sz val="11"/>
        <color rgb="FF00FF00"/>
        <rFont val="Calibri"/>
        <family val="2"/>
        <scheme val="minor"/>
      </rPr>
      <t>SVPPP</t>
    </r>
  </si>
  <si>
    <t>T 1,35</t>
  </si>
  <si>
    <t>F 1,38</t>
  </si>
  <si>
    <t>N 1,38</t>
  </si>
  <si>
    <t>T 1,43</t>
  </si>
  <si>
    <r>
      <t>AVVTFNVVAFTV</t>
    </r>
    <r>
      <rPr>
        <sz val="11"/>
        <rFont val="Calibri"/>
        <family val="2"/>
        <scheme val="minor"/>
      </rPr>
      <t>AEV</t>
    </r>
  </si>
  <si>
    <t>I 1,09</t>
  </si>
  <si>
    <t>I 0,87</t>
  </si>
  <si>
    <t>G 0,97</t>
  </si>
  <si>
    <r>
      <t>LV</t>
    </r>
    <r>
      <rPr>
        <sz val="11"/>
        <rFont val="Calibri"/>
        <family val="2"/>
        <scheme val="minor"/>
      </rPr>
      <t>AE</t>
    </r>
    <r>
      <rPr>
        <sz val="11"/>
        <color rgb="FFFF0000"/>
        <rFont val="Calibri"/>
        <family val="2"/>
        <scheme val="minor"/>
      </rPr>
      <t>I</t>
    </r>
    <r>
      <rPr>
        <sz val="11"/>
        <rFont val="Calibri"/>
        <family val="2"/>
        <scheme val="minor"/>
      </rPr>
      <t>LRII</t>
    </r>
    <r>
      <rPr>
        <sz val="11"/>
        <color rgb="FF00FF00"/>
        <rFont val="Calibri"/>
        <family val="2"/>
        <scheme val="minor"/>
      </rPr>
      <t>S</t>
    </r>
    <r>
      <rPr>
        <sz val="11"/>
        <rFont val="Calibri"/>
        <family val="2"/>
        <scheme val="minor"/>
      </rPr>
      <t>GGRLI</t>
    </r>
  </si>
  <si>
    <r>
      <t>TCWFARALELR</t>
    </r>
    <r>
      <rPr>
        <sz val="11"/>
        <color rgb="FFFF0000"/>
        <rFont val="Calibri"/>
        <family val="2"/>
        <scheme val="minor"/>
      </rPr>
      <t>T</t>
    </r>
    <r>
      <rPr>
        <sz val="11"/>
        <rFont val="Calibri"/>
        <family val="2"/>
        <scheme val="minor"/>
      </rPr>
      <t>LLI</t>
    </r>
  </si>
  <si>
    <t>E 1,30</t>
  </si>
  <si>
    <t>P 1,10</t>
  </si>
  <si>
    <t>Y 1,29</t>
  </si>
  <si>
    <r>
      <t>ELFV</t>
    </r>
    <r>
      <rPr>
        <sz val="11"/>
        <rFont val="Calibri"/>
        <family val="2"/>
        <scheme val="minor"/>
      </rPr>
      <t>AA</t>
    </r>
    <r>
      <rPr>
        <sz val="11"/>
        <color rgb="FFFF0000"/>
        <rFont val="Calibri"/>
        <family val="2"/>
        <scheme val="minor"/>
      </rPr>
      <t>YV</t>
    </r>
    <r>
      <rPr>
        <sz val="11"/>
        <rFont val="Calibri"/>
        <family val="2"/>
        <scheme val="minor"/>
      </rPr>
      <t>P</t>
    </r>
    <r>
      <rPr>
        <sz val="11"/>
        <color rgb="FFFF0000"/>
        <rFont val="Calibri"/>
        <family val="2"/>
        <scheme val="minor"/>
      </rPr>
      <t>YVA</t>
    </r>
    <r>
      <rPr>
        <sz val="11"/>
        <rFont val="Calibri"/>
        <family val="2"/>
        <scheme val="minor"/>
      </rPr>
      <t>WLV</t>
    </r>
  </si>
  <si>
    <r>
      <t>MSQLSFF</t>
    </r>
    <r>
      <rPr>
        <sz val="11"/>
        <color rgb="FFFF0000"/>
        <rFont val="Calibri"/>
        <family val="2"/>
        <scheme val="minor"/>
      </rPr>
      <t>A</t>
    </r>
    <r>
      <rPr>
        <sz val="11"/>
        <rFont val="Calibri"/>
        <family val="2"/>
        <scheme val="minor"/>
      </rPr>
      <t>AESV</t>
    </r>
    <r>
      <rPr>
        <sz val="11"/>
        <color rgb="FF00FF00"/>
        <rFont val="Calibri"/>
        <family val="2"/>
        <scheme val="minor"/>
      </rPr>
      <t>P</t>
    </r>
    <r>
      <rPr>
        <sz val="11"/>
        <rFont val="Calibri"/>
        <family val="2"/>
        <scheme val="minor"/>
      </rPr>
      <t>PA</t>
    </r>
  </si>
  <si>
    <r>
      <t>GLIALLIA</t>
    </r>
    <r>
      <rPr>
        <sz val="11"/>
        <rFont val="Calibri"/>
        <family val="2"/>
        <scheme val="minor"/>
      </rPr>
      <t>FA</t>
    </r>
    <r>
      <rPr>
        <sz val="11"/>
        <color rgb="FFFF0000"/>
        <rFont val="Calibri"/>
        <family val="2"/>
        <scheme val="minor"/>
      </rPr>
      <t>L</t>
    </r>
    <r>
      <rPr>
        <sz val="11"/>
        <rFont val="Calibri"/>
        <family val="2"/>
        <scheme val="minor"/>
      </rPr>
      <t>TTNV</t>
    </r>
  </si>
  <si>
    <t>I 0,95</t>
  </si>
  <si>
    <t>T 0,88</t>
  </si>
  <si>
    <t>T 0,81</t>
  </si>
  <si>
    <r>
      <t>PCFGAIQRQTT</t>
    </r>
    <r>
      <rPr>
        <sz val="11"/>
        <color rgb="FF00FF00"/>
        <rFont val="Calibri"/>
        <family val="2"/>
        <scheme val="minor"/>
      </rPr>
      <t>S</t>
    </r>
    <r>
      <rPr>
        <sz val="11"/>
        <rFont val="Calibri"/>
        <family val="2"/>
        <scheme val="minor"/>
      </rPr>
      <t>T</t>
    </r>
    <r>
      <rPr>
        <sz val="11"/>
        <color rgb="FF00FF00"/>
        <rFont val="Calibri"/>
        <family val="2"/>
        <scheme val="minor"/>
      </rPr>
      <t>P</t>
    </r>
    <r>
      <rPr>
        <sz val="11"/>
        <rFont val="Calibri"/>
        <family val="2"/>
        <scheme val="minor"/>
      </rPr>
      <t>G</t>
    </r>
  </si>
  <si>
    <t>C 0,92</t>
  </si>
  <si>
    <t>C 1,01</t>
  </si>
  <si>
    <t>Y 1,03</t>
  </si>
  <si>
    <t>I 1,07</t>
  </si>
  <si>
    <t>H 0,92</t>
  </si>
  <si>
    <t>W 0,89</t>
  </si>
  <si>
    <t>N 1,00</t>
  </si>
  <si>
    <t>N 1,16</t>
  </si>
  <si>
    <t>K 0,97</t>
  </si>
  <si>
    <r>
      <t>HADWNN</t>
    </r>
    <r>
      <rPr>
        <sz val="11"/>
        <color rgb="FFFF0000"/>
        <rFont val="Calibri"/>
        <family val="2"/>
        <scheme val="minor"/>
      </rPr>
      <t>QSIV</t>
    </r>
    <r>
      <rPr>
        <sz val="11"/>
        <rFont val="Calibri"/>
        <family val="2"/>
        <scheme val="minor"/>
      </rPr>
      <t>KTGE</t>
    </r>
    <r>
      <rPr>
        <sz val="11"/>
        <color rgb="FF00FF00"/>
        <rFont val="Calibri"/>
        <family val="2"/>
        <scheme val="minor"/>
      </rPr>
      <t>R</t>
    </r>
    <r>
      <rPr>
        <sz val="11"/>
        <rFont val="Calibri"/>
        <family val="2"/>
        <scheme val="minor"/>
      </rPr>
      <t>Q</t>
    </r>
  </si>
  <si>
    <t>V 1,02</t>
  </si>
  <si>
    <t>Q 1,03</t>
  </si>
  <si>
    <r>
      <t>GIVQQQNNLLR</t>
    </r>
    <r>
      <rPr>
        <sz val="11"/>
        <color rgb="FFFF0000"/>
        <rFont val="Calibri"/>
        <family val="2"/>
        <scheme val="minor"/>
      </rPr>
      <t>A</t>
    </r>
    <r>
      <rPr>
        <sz val="11"/>
        <rFont val="Calibri"/>
        <family val="2"/>
        <scheme val="minor"/>
      </rPr>
      <t>IEA</t>
    </r>
  </si>
  <si>
    <t>P 0,98</t>
  </si>
  <si>
    <t>K 1,06</t>
  </si>
  <si>
    <t>D 0,86</t>
  </si>
  <si>
    <t>G 0,82</t>
  </si>
  <si>
    <t>R 0,75</t>
  </si>
  <si>
    <r>
      <t>IG</t>
    </r>
    <r>
      <rPr>
        <sz val="11"/>
        <color rgb="FF00FF00"/>
        <rFont val="Calibri"/>
        <family val="2"/>
        <scheme val="minor"/>
      </rPr>
      <t>R</t>
    </r>
    <r>
      <rPr>
        <sz val="11"/>
        <rFont val="Calibri"/>
        <family val="2"/>
        <scheme val="minor"/>
      </rPr>
      <t>WYSRTMSKTQRM</t>
    </r>
  </si>
  <si>
    <t>M 1,17</t>
  </si>
  <si>
    <t>Q 1,10</t>
  </si>
  <si>
    <t>G 0,77</t>
  </si>
  <si>
    <t>G 0,75</t>
  </si>
  <si>
    <t>L 0,75</t>
  </si>
  <si>
    <t>P 0,60</t>
  </si>
  <si>
    <t>R 1,24</t>
  </si>
  <si>
    <r>
      <t>GGLP</t>
    </r>
    <r>
      <rPr>
        <sz val="11"/>
        <rFont val="Calibri"/>
        <family val="2"/>
        <scheme val="minor"/>
      </rPr>
      <t>QS</t>
    </r>
    <r>
      <rPr>
        <sz val="11"/>
        <color rgb="FFFF0000"/>
        <rFont val="Calibri"/>
        <family val="2"/>
        <scheme val="minor"/>
      </rPr>
      <t>GRIVV</t>
    </r>
    <r>
      <rPr>
        <sz val="11"/>
        <rFont val="Calibri"/>
        <family val="2"/>
        <scheme val="minor"/>
      </rPr>
      <t>DYMV</t>
    </r>
  </si>
  <si>
    <t>I 1,02</t>
  </si>
  <si>
    <t>D 0,93</t>
  </si>
  <si>
    <t>W 1,03</t>
  </si>
  <si>
    <r>
      <t>DTKIDLWSYN</t>
    </r>
    <r>
      <rPr>
        <sz val="11"/>
        <color rgb="FFFF0000"/>
        <rFont val="Calibri"/>
        <family val="2"/>
        <scheme val="minor"/>
      </rPr>
      <t>AE</t>
    </r>
    <r>
      <rPr>
        <sz val="11"/>
        <rFont val="Calibri"/>
        <family val="2"/>
        <scheme val="minor"/>
      </rPr>
      <t>LLV</t>
    </r>
  </si>
  <si>
    <t>K 1,07</t>
  </si>
  <si>
    <t>R 0,74</t>
  </si>
  <si>
    <t>Q 0,88</t>
  </si>
  <si>
    <t>N 0,93</t>
  </si>
  <si>
    <r>
      <t>RTKI</t>
    </r>
    <r>
      <rPr>
        <sz val="11"/>
        <color rgb="FF00FF00"/>
        <rFont val="Calibri"/>
        <family val="2"/>
        <scheme val="minor"/>
      </rPr>
      <t>R</t>
    </r>
    <r>
      <rPr>
        <sz val="11"/>
        <rFont val="Calibri"/>
        <family val="2"/>
        <scheme val="minor"/>
      </rPr>
      <t>QLPNLLRGYE</t>
    </r>
  </si>
  <si>
    <t>V 0,86</t>
  </si>
  <si>
    <t>P 0,66</t>
  </si>
  <si>
    <t>G 0,74</t>
  </si>
  <si>
    <t>L 0,67</t>
  </si>
  <si>
    <t>Q 0,65</t>
  </si>
  <si>
    <r>
      <t>LTV</t>
    </r>
    <r>
      <rPr>
        <sz val="11"/>
        <color rgb="FF00FF00"/>
        <rFont val="Calibri"/>
        <family val="2"/>
        <scheme val="minor"/>
      </rPr>
      <t>P</t>
    </r>
    <r>
      <rPr>
        <sz val="11"/>
        <rFont val="Calibri"/>
        <family val="2"/>
        <scheme val="minor"/>
      </rPr>
      <t>SE</t>
    </r>
    <r>
      <rPr>
        <sz val="11"/>
        <color rgb="FF00FF00"/>
        <rFont val="Calibri"/>
        <family val="2"/>
        <scheme val="minor"/>
      </rPr>
      <t>RGLQ</t>
    </r>
    <r>
      <rPr>
        <sz val="11"/>
        <rFont val="Calibri"/>
        <family val="2"/>
        <scheme val="minor"/>
      </rPr>
      <t>RRRFV</t>
    </r>
  </si>
  <si>
    <t>N 1,01</t>
  </si>
  <si>
    <r>
      <t>GIFENSCLE</t>
    </r>
    <r>
      <rPr>
        <sz val="11"/>
        <color rgb="FFFF0000"/>
        <rFont val="Calibri"/>
        <family val="2"/>
        <scheme val="minor"/>
      </rPr>
      <t>TM</t>
    </r>
    <r>
      <rPr>
        <sz val="11"/>
        <rFont val="Calibri"/>
        <family val="2"/>
        <scheme val="minor"/>
      </rPr>
      <t>EAVQ</t>
    </r>
  </si>
  <si>
    <t>M 1,14</t>
  </si>
  <si>
    <t>W 1,01</t>
  </si>
  <si>
    <t>H 0,97</t>
  </si>
  <si>
    <r>
      <t>VFHTMWHVTR</t>
    </r>
    <r>
      <rPr>
        <sz val="11"/>
        <color rgb="FFFF0000"/>
        <rFont val="Calibri"/>
        <family val="2"/>
        <scheme val="minor"/>
      </rPr>
      <t>G</t>
    </r>
    <r>
      <rPr>
        <sz val="11"/>
        <rFont val="Calibri"/>
        <family val="2"/>
        <scheme val="minor"/>
      </rPr>
      <t>AFLVRNGK</t>
    </r>
  </si>
  <si>
    <t>N 1,23</t>
  </si>
  <si>
    <r>
      <t>S</t>
    </r>
    <r>
      <rPr>
        <sz val="11"/>
        <color rgb="FFFF0000"/>
        <rFont val="Calibri"/>
        <family val="2"/>
        <scheme val="minor"/>
      </rPr>
      <t>SVFN</t>
    </r>
    <r>
      <rPr>
        <sz val="11"/>
        <rFont val="Calibri"/>
        <family val="2"/>
        <scheme val="minor"/>
      </rPr>
      <t>VVNSS</t>
    </r>
    <r>
      <rPr>
        <sz val="11"/>
        <color rgb="FFFF0000"/>
        <rFont val="Calibri"/>
        <family val="2"/>
        <scheme val="minor"/>
      </rPr>
      <t>I</t>
    </r>
    <r>
      <rPr>
        <sz val="11"/>
        <rFont val="Calibri"/>
        <family val="2"/>
        <scheme val="minor"/>
      </rPr>
      <t>GLIM</t>
    </r>
  </si>
  <si>
    <t>N 1,07</t>
  </si>
  <si>
    <t>C 0,93</t>
  </si>
  <si>
    <t>E 0,84</t>
  </si>
  <si>
    <t>H 1,11</t>
  </si>
  <si>
    <t>I 1,27</t>
  </si>
  <si>
    <r>
      <t>I</t>
    </r>
    <r>
      <rPr>
        <sz val="11"/>
        <rFont val="Calibri"/>
        <family val="2"/>
        <scheme val="minor"/>
      </rPr>
      <t>S</t>
    </r>
    <r>
      <rPr>
        <sz val="11"/>
        <color rgb="FFFF0000"/>
        <rFont val="Calibri"/>
        <family val="2"/>
        <scheme val="minor"/>
      </rPr>
      <t>KI</t>
    </r>
    <r>
      <rPr>
        <sz val="11"/>
        <rFont val="Calibri"/>
        <family val="2"/>
        <scheme val="minor"/>
      </rPr>
      <t>EN</t>
    </r>
    <r>
      <rPr>
        <sz val="11"/>
        <color rgb="FFFF0000"/>
        <rFont val="Calibri"/>
        <family val="2"/>
        <scheme val="minor"/>
      </rPr>
      <t>EIETLVE</t>
    </r>
    <r>
      <rPr>
        <sz val="11"/>
        <rFont val="Calibri"/>
        <family val="2"/>
        <scheme val="minor"/>
      </rPr>
      <t>NIKKDEE</t>
    </r>
  </si>
  <si>
    <t>C 0,73</t>
  </si>
  <si>
    <t>Q 0,57</t>
  </si>
  <si>
    <t>R 0,54</t>
  </si>
  <si>
    <t>H 0,66</t>
  </si>
  <si>
    <t>S 0,67</t>
  </si>
  <si>
    <t>P 0,63</t>
  </si>
  <si>
    <r>
      <t>V</t>
    </r>
    <r>
      <rPr>
        <sz val="11"/>
        <color rgb="FF00FF00"/>
        <rFont val="Calibri"/>
        <family val="2"/>
        <scheme val="minor"/>
      </rPr>
      <t>CQRHSP</t>
    </r>
    <r>
      <rPr>
        <sz val="11"/>
        <rFont val="Calibri"/>
        <family val="2"/>
        <scheme val="minor"/>
      </rPr>
      <t>DCSR</t>
    </r>
    <r>
      <rPr>
        <sz val="11"/>
        <color rgb="FFFF0000"/>
        <rFont val="Calibri"/>
        <family val="2"/>
        <scheme val="minor"/>
      </rPr>
      <t>L</t>
    </r>
    <r>
      <rPr>
        <sz val="11"/>
        <rFont val="Calibri"/>
        <family val="2"/>
        <scheme val="minor"/>
      </rPr>
      <t>VGA</t>
    </r>
    <r>
      <rPr>
        <sz val="11"/>
        <color rgb="FF00FF00"/>
        <rFont val="Calibri"/>
        <family val="2"/>
        <scheme val="minor"/>
      </rPr>
      <t>TP</t>
    </r>
    <r>
      <rPr>
        <sz val="11"/>
        <rFont val="Calibri"/>
        <family val="2"/>
        <scheme val="minor"/>
      </rPr>
      <t>ER</t>
    </r>
  </si>
  <si>
    <r>
      <t>SEFAYGS</t>
    </r>
    <r>
      <rPr>
        <sz val="11"/>
        <color rgb="FFFF0000"/>
        <rFont val="Calibri"/>
        <family val="2"/>
        <scheme val="minor"/>
      </rPr>
      <t>F</t>
    </r>
    <r>
      <rPr>
        <sz val="11"/>
        <rFont val="Calibri"/>
        <family val="2"/>
        <scheme val="minor"/>
      </rPr>
      <t>VRTVSLPVGADE</t>
    </r>
  </si>
  <si>
    <t>H 1,19</t>
  </si>
  <si>
    <t>Q 1,19</t>
  </si>
  <si>
    <t>Y 1,08</t>
  </si>
  <si>
    <t>V 0,89</t>
  </si>
  <si>
    <t>P 0,59</t>
  </si>
  <si>
    <t>A 0,92</t>
  </si>
  <si>
    <r>
      <t>H</t>
    </r>
    <r>
      <rPr>
        <sz val="11"/>
        <color rgb="FFFF0000"/>
        <rFont val="Calibri"/>
        <family val="2"/>
        <scheme val="minor"/>
      </rPr>
      <t>I</t>
    </r>
    <r>
      <rPr>
        <sz val="11"/>
        <rFont val="Calibri"/>
        <family val="2"/>
        <scheme val="minor"/>
      </rPr>
      <t>VMQYMYV</t>
    </r>
    <r>
      <rPr>
        <sz val="11"/>
        <color rgb="FF00FF00"/>
        <rFont val="Calibri"/>
        <family val="2"/>
        <scheme val="minor"/>
      </rPr>
      <t>P</t>
    </r>
    <r>
      <rPr>
        <sz val="11"/>
        <rFont val="Calibri"/>
        <family val="2"/>
        <scheme val="minor"/>
      </rPr>
      <t>PGAPIPTTRN</t>
    </r>
  </si>
  <si>
    <t>L 0,86</t>
  </si>
  <si>
    <t>R 0,78</t>
  </si>
  <si>
    <t>F 0,99</t>
  </si>
  <si>
    <r>
      <t>LWANL</t>
    </r>
    <r>
      <rPr>
        <sz val="11"/>
        <color rgb="FF00FF00"/>
        <rFont val="Calibri"/>
        <family val="2"/>
        <scheme val="minor"/>
      </rPr>
      <t>R</t>
    </r>
    <r>
      <rPr>
        <sz val="11"/>
        <rFont val="Calibri"/>
        <family val="2"/>
        <scheme val="minor"/>
      </rPr>
      <t>L</t>
    </r>
    <r>
      <rPr>
        <sz val="11"/>
        <color rgb="FF00FF00"/>
        <rFont val="Calibri"/>
        <family val="2"/>
        <scheme val="minor"/>
      </rPr>
      <t>D</t>
    </r>
    <r>
      <rPr>
        <sz val="11"/>
        <rFont val="Calibri"/>
        <family val="2"/>
        <scheme val="minor"/>
      </rPr>
      <t>QGFRKWE</t>
    </r>
  </si>
  <si>
    <t>K 1,01</t>
  </si>
  <si>
    <t>K 1,31</t>
  </si>
  <si>
    <r>
      <t>TAIKHR</t>
    </r>
    <r>
      <rPr>
        <sz val="11"/>
        <color rgb="FFFF0000"/>
        <rFont val="Calibri"/>
        <family val="2"/>
        <scheme val="minor"/>
      </rPr>
      <t>AKI</t>
    </r>
    <r>
      <rPr>
        <sz val="11"/>
        <rFont val="Calibri"/>
        <family val="2"/>
        <scheme val="minor"/>
      </rPr>
      <t>TMA</t>
    </r>
  </si>
  <si>
    <t>I 1,43</t>
  </si>
  <si>
    <t>F 0,80</t>
  </si>
  <si>
    <t>R 0,81</t>
  </si>
  <si>
    <t>T 0,87</t>
  </si>
  <si>
    <r>
      <t>II</t>
    </r>
    <r>
      <rPr>
        <sz val="11"/>
        <rFont val="Calibri"/>
        <family val="2"/>
        <scheme val="minor"/>
      </rPr>
      <t>IEKFST</t>
    </r>
    <r>
      <rPr>
        <sz val="11"/>
        <color rgb="FF00FF00"/>
        <rFont val="Calibri"/>
        <family val="2"/>
        <scheme val="minor"/>
      </rPr>
      <t>D</t>
    </r>
    <r>
      <rPr>
        <sz val="11"/>
        <rFont val="Calibri"/>
        <family val="2"/>
        <scheme val="minor"/>
      </rPr>
      <t>RTT</t>
    </r>
    <r>
      <rPr>
        <sz val="11"/>
        <color rgb="FF00FF00"/>
        <rFont val="Calibri"/>
        <family val="2"/>
        <scheme val="minor"/>
      </rPr>
      <t>R</t>
    </r>
    <r>
      <rPr>
        <sz val="11"/>
        <rFont val="Calibri"/>
        <family val="2"/>
        <scheme val="minor"/>
      </rPr>
      <t>GQ</t>
    </r>
  </si>
  <si>
    <r>
      <t>RKVSSTMR</t>
    </r>
    <r>
      <rPr>
        <sz val="11"/>
        <color rgb="FFFF0000"/>
        <rFont val="Calibri"/>
        <family val="2"/>
        <scheme val="minor"/>
      </rPr>
      <t>SLVAV</t>
    </r>
    <r>
      <rPr>
        <sz val="11"/>
        <rFont val="Calibri"/>
        <family val="2"/>
        <scheme val="minor"/>
      </rPr>
      <t>IN</t>
    </r>
  </si>
  <si>
    <t>I 0,98</t>
  </si>
  <si>
    <r>
      <t>VRMRLINIDR</t>
    </r>
    <r>
      <rPr>
        <sz val="11"/>
        <color rgb="FFFF0000"/>
        <rFont val="Calibri"/>
        <family val="2"/>
        <scheme val="minor"/>
      </rPr>
      <t>I</t>
    </r>
    <r>
      <rPr>
        <sz val="11"/>
        <rFont val="Calibri"/>
        <family val="2"/>
        <scheme val="minor"/>
      </rPr>
      <t>HIKN</t>
    </r>
  </si>
  <si>
    <r>
      <t>RFLG</t>
    </r>
    <r>
      <rPr>
        <sz val="11"/>
        <color rgb="FFFF0000"/>
        <rFont val="Calibri"/>
        <family val="2"/>
        <scheme val="minor"/>
      </rPr>
      <t>F</t>
    </r>
    <r>
      <rPr>
        <sz val="11"/>
        <rFont val="Calibri"/>
        <family val="2"/>
        <scheme val="minor"/>
      </rPr>
      <t>LLG</t>
    </r>
    <r>
      <rPr>
        <sz val="11"/>
        <color rgb="FFFF0000"/>
        <rFont val="Calibri"/>
        <family val="2"/>
        <scheme val="minor"/>
      </rPr>
      <t>V</t>
    </r>
    <r>
      <rPr>
        <sz val="11"/>
        <rFont val="Calibri"/>
        <family val="2"/>
        <scheme val="minor"/>
      </rPr>
      <t>GSAIAS</t>
    </r>
  </si>
  <si>
    <t>1,25</t>
  </si>
  <si>
    <t>0,97</t>
  </si>
  <si>
    <t>1,06</t>
  </si>
  <si>
    <t>1,07</t>
  </si>
  <si>
    <t>1,10</t>
  </si>
  <si>
    <t>0,87</t>
  </si>
  <si>
    <t>1,22</t>
  </si>
  <si>
    <t>1,01</t>
  </si>
  <si>
    <t>0,99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</si>
</sst>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name val="Calibri"/>
      <family val="2"/>
      <scheme val="minor"/>
    </font>
    <font>
      <sz val="10"/>
      <color theme="1"/>
      <name val="Calibri"/>
      <family val="2"/>
      <scheme val="minor"/>
    </font>
    <font>
      <sz val="12"/>
      <color theme="1"/>
      <name val="Calibri"/>
      <family val="2"/>
      <scheme val="minor"/>
    </font>
    <font>
      <b/>
      <sz val="14"/>
      <color theme="1"/>
      <name val="Calibri"/>
      <family val="2"/>
      <scheme val="minor"/>
    </font>
    <font>
      <b/>
      <sz val="20"/>
      <name val="Calibri"/>
      <family val="2"/>
      <scheme val="minor"/>
    </font>
    <font>
      <sz val="11"/>
      <color rgb="FFFF0000"/>
      <name val="Calibri"/>
      <family val="2"/>
      <scheme val="minor"/>
    </font>
    <font>
      <sz val="11"/>
      <color rgb="FF00FF00"/>
      <name val="Calibri"/>
      <family val="2"/>
      <scheme val="minor"/>
    </font>
    <font>
      <sz val="11"/>
      <color theme="0"/>
      <name val="Calibri"/>
      <family val="2"/>
      <scheme val="minor"/>
    </font>
    <font>
      <b/>
      <sz val="14"/>
      <name val="Microsoft Sans Serif"/>
      <family val="2"/>
    </font>
    <font>
      <b/>
      <sz val="14"/>
      <color theme="1"/>
      <name val="Microsoft Sans Serif"/>
      <family val="2"/>
    </font>
    <font>
      <b/>
      <sz val="11"/>
      <color theme="1"/>
      <name val="Calibri"/>
      <family val="2"/>
      <scheme val="minor"/>
    </font>
    <font>
      <sz val="8"/>
      <name val="Calibri"/>
      <family val="2"/>
      <scheme val="minor"/>
    </font>
  </fonts>
  <fills count="4">
    <fill>
      <patternFill patternType="none"/>
    </fill>
    <fill>
      <patternFill patternType="gray125"/>
    </fill>
    <fill>
      <patternFill patternType="solid">
        <fgColor rgb="FFFF0000"/>
        <bgColor indexed="64"/>
      </patternFill>
    </fill>
    <fill>
      <patternFill patternType="solid">
        <fgColor rgb="FF00FF00"/>
        <bgColor indexed="64"/>
      </patternFill>
    </fill>
  </fills>
  <borders count="1">
    <border>
      <left/>
      <right/>
      <top/>
      <bottom/>
      <diagonal/>
    </border>
  </borders>
  <cellStyleXfs count="1">
    <xf numFmtId="0" fontId="0" fillId="0" borderId="0"/>
  </cellStyleXfs>
  <cellXfs count="26">
    <xf numFmtId="0" fontId="0" fillId="0" borderId="0" xfId="0"/>
    <xf numFmtId="0" fontId="1" fillId="0" borderId="0" xfId="0" applyFont="1"/>
    <xf numFmtId="0" fontId="0" fillId="0" borderId="0" xfId="0" applyAlignment="1">
      <alignment wrapText="1"/>
    </xf>
    <xf numFmtId="0" fontId="2" fillId="0" borderId="0" xfId="0" applyFont="1" applyAlignment="1">
      <alignment wrapText="1"/>
    </xf>
    <xf numFmtId="0" fontId="3" fillId="0" borderId="0" xfId="0" applyFont="1" applyAlignment="1">
      <alignment vertical="center" wrapText="1"/>
    </xf>
    <xf numFmtId="0" fontId="4" fillId="0" borderId="0" xfId="0" applyFont="1"/>
    <xf numFmtId="0" fontId="5" fillId="0" borderId="0" xfId="0" applyFont="1"/>
    <xf numFmtId="0" fontId="0" fillId="2" borderId="0" xfId="0" applyFill="1"/>
    <xf numFmtId="0" fontId="1" fillId="3" borderId="0" xfId="0" applyFont="1" applyFill="1"/>
    <xf numFmtId="0" fontId="1" fillId="2" borderId="0" xfId="0" applyFont="1" applyFill="1"/>
    <xf numFmtId="0" fontId="6" fillId="0" borderId="0" xfId="0" applyFont="1"/>
    <xf numFmtId="2" fontId="1" fillId="0" borderId="0" xfId="0" applyNumberFormat="1" applyFont="1" applyAlignment="1">
      <alignment horizontal="left" indent="1"/>
    </xf>
    <xf numFmtId="0" fontId="8" fillId="0" borderId="0" xfId="0" applyFont="1"/>
    <xf numFmtId="0" fontId="0" fillId="0" borderId="0" xfId="0" applyAlignment="1">
      <alignment horizontal="left" vertical="top" wrapText="1"/>
    </xf>
    <xf numFmtId="0" fontId="1" fillId="0" borderId="0" xfId="0" applyFont="1" applyAlignment="1">
      <alignment vertical="center"/>
    </xf>
    <xf numFmtId="2" fontId="1" fillId="0" borderId="0" xfId="0" applyNumberFormat="1" applyFont="1" applyAlignment="1">
      <alignment horizontal="left" vertical="center"/>
    </xf>
    <xf numFmtId="0" fontId="9" fillId="0" borderId="0" xfId="0" applyFont="1"/>
    <xf numFmtId="2" fontId="8" fillId="0" borderId="0" xfId="0" applyNumberFormat="1" applyFont="1" applyAlignment="1">
      <alignment horizontal="left" indent="1"/>
    </xf>
    <xf numFmtId="0" fontId="10" fillId="0" borderId="0" xfId="0" applyFont="1"/>
    <xf numFmtId="0" fontId="8" fillId="0" borderId="0" xfId="0" applyFont="1" applyAlignment="1">
      <alignment vertical="center"/>
    </xf>
    <xf numFmtId="0" fontId="5" fillId="0" borderId="0" xfId="0" applyFont="1" applyFill="1"/>
    <xf numFmtId="0" fontId="1" fillId="0" borderId="0" xfId="0" applyFont="1" applyFill="1"/>
    <xf numFmtId="0" fontId="6" fillId="0" borderId="0" xfId="0" applyFont="1" applyFill="1"/>
    <xf numFmtId="0" fontId="7" fillId="0" borderId="0" xfId="0" applyFont="1" applyFill="1"/>
    <xf numFmtId="0" fontId="0" fillId="0" borderId="0" xfId="0" applyFill="1"/>
    <xf numFmtId="0" fontId="0" fillId="0" borderId="0" xfId="0" applyNumberFormat="1" applyFill="1"/>
  </cellXfs>
  <cellStyles count="1">
    <cellStyle name="Normal" xfId="0" builtinId="0"/>
  </cellStyles>
  <dxfs count="0"/>
  <tableStyles count="0" defaultTableStyle="TableStyleMedium2" defaultPivotStyle="PivotStyleLight16"/>
  <colors>
    <mruColors>
      <color rgb="FFFF5050"/>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none"/>
            </c:marker>
            <c:bubble3D val="0"/>
            <c:extLst>
              <c:ext xmlns:c16="http://schemas.microsoft.com/office/drawing/2014/chart" uri="{C3380CC4-5D6E-409C-BE32-E72D297353CC}">
                <c16:uniqueId val="{00000001-C21F-47D2-8614-C93F7E6EE731}"/>
              </c:ext>
            </c:extLst>
          </c:dPt>
          <c:dPt>
            <c:idx val="1"/>
            <c:marker>
              <c:symbol val="none"/>
            </c:marker>
            <c:bubble3D val="0"/>
            <c:extLst>
              <c:ext xmlns:c16="http://schemas.microsoft.com/office/drawing/2014/chart" uri="{C3380CC4-5D6E-409C-BE32-E72D297353CC}">
                <c16:uniqueId val="{00000002-C21F-47D2-8614-C93F7E6EE731}"/>
              </c:ext>
            </c:extLst>
          </c:dPt>
          <c:dPt>
            <c:idx val="2"/>
            <c:marker>
              <c:symbol val="none"/>
            </c:marker>
            <c:bubble3D val="0"/>
            <c:extLst>
              <c:ext xmlns:c16="http://schemas.microsoft.com/office/drawing/2014/chart" uri="{C3380CC4-5D6E-409C-BE32-E72D297353CC}">
                <c16:uniqueId val="{00000003-C21F-47D2-8614-C93F7E6EE731}"/>
              </c:ext>
            </c:extLst>
          </c:dPt>
          <c:dPt>
            <c:idx val="3"/>
            <c:marker>
              <c:symbol val="none"/>
            </c:marker>
            <c:bubble3D val="0"/>
            <c:extLst>
              <c:ext xmlns:c16="http://schemas.microsoft.com/office/drawing/2014/chart" uri="{C3380CC4-5D6E-409C-BE32-E72D297353CC}">
                <c16:uniqueId val="{00000004-C21F-47D2-8614-C93F7E6EE731}"/>
              </c:ext>
            </c:extLst>
          </c:dPt>
          <c:dPt>
            <c:idx val="4"/>
            <c:marker>
              <c:symbol val="none"/>
            </c:marker>
            <c:bubble3D val="0"/>
            <c:extLst>
              <c:ext xmlns:c16="http://schemas.microsoft.com/office/drawing/2014/chart" uri="{C3380CC4-5D6E-409C-BE32-E72D297353CC}">
                <c16:uniqueId val="{00000005-C21F-47D2-8614-C93F7E6EE731}"/>
              </c:ext>
            </c:extLst>
          </c:dPt>
          <c:dPt>
            <c:idx val="5"/>
            <c:marker>
              <c:symbol val="none"/>
            </c:marker>
            <c:bubble3D val="0"/>
            <c:extLst>
              <c:ext xmlns:c16="http://schemas.microsoft.com/office/drawing/2014/chart" uri="{C3380CC4-5D6E-409C-BE32-E72D297353CC}">
                <c16:uniqueId val="{00000006-C21F-47D2-8614-C93F7E6EE731}"/>
              </c:ext>
            </c:extLst>
          </c:dPt>
          <c:dPt>
            <c:idx val="6"/>
            <c:marker>
              <c:symbol val="none"/>
            </c:marker>
            <c:bubble3D val="0"/>
            <c:extLst>
              <c:ext xmlns:c16="http://schemas.microsoft.com/office/drawing/2014/chart" uri="{C3380CC4-5D6E-409C-BE32-E72D297353CC}">
                <c16:uniqueId val="{00000007-C21F-47D2-8614-C93F7E6EE731}"/>
              </c:ext>
            </c:extLst>
          </c:dPt>
          <c:dPt>
            <c:idx val="7"/>
            <c:marker>
              <c:symbol val="none"/>
            </c:marker>
            <c:bubble3D val="0"/>
            <c:extLst>
              <c:ext xmlns:c16="http://schemas.microsoft.com/office/drawing/2014/chart" uri="{C3380CC4-5D6E-409C-BE32-E72D297353CC}">
                <c16:uniqueId val="{00000008-C21F-47D2-8614-C93F7E6EE731}"/>
              </c:ext>
            </c:extLst>
          </c:dPt>
          <c:dPt>
            <c:idx val="8"/>
            <c:marker>
              <c:symbol val="none"/>
            </c:marker>
            <c:bubble3D val="0"/>
            <c:extLst>
              <c:ext xmlns:c16="http://schemas.microsoft.com/office/drawing/2014/chart" uri="{C3380CC4-5D6E-409C-BE32-E72D297353CC}">
                <c16:uniqueId val="{00000009-C21F-47D2-8614-C93F7E6EE731}"/>
              </c:ext>
            </c:extLst>
          </c:dPt>
          <c:dPt>
            <c:idx val="9"/>
            <c:marker>
              <c:symbol val="none"/>
            </c:marker>
            <c:bubble3D val="0"/>
            <c:extLst>
              <c:ext xmlns:c16="http://schemas.microsoft.com/office/drawing/2014/chart" uri="{C3380CC4-5D6E-409C-BE32-E72D297353CC}">
                <c16:uniqueId val="{0000000A-C21F-47D2-8614-C93F7E6EE731}"/>
              </c:ext>
            </c:extLst>
          </c:dPt>
          <c:dPt>
            <c:idx val="10"/>
            <c:marker>
              <c:symbol val="none"/>
            </c:marker>
            <c:bubble3D val="0"/>
            <c:extLst>
              <c:ext xmlns:c16="http://schemas.microsoft.com/office/drawing/2014/chart" uri="{C3380CC4-5D6E-409C-BE32-E72D297353CC}">
                <c16:uniqueId val="{0000000B-C21F-47D2-8614-C93F7E6EE731}"/>
              </c:ext>
            </c:extLst>
          </c:dPt>
          <c:dPt>
            <c:idx val="11"/>
            <c:marker>
              <c:symbol val="none"/>
            </c:marker>
            <c:bubble3D val="0"/>
            <c:extLst>
              <c:ext xmlns:c16="http://schemas.microsoft.com/office/drawing/2014/chart" uri="{C3380CC4-5D6E-409C-BE32-E72D297353CC}">
                <c16:uniqueId val="{0000000C-C21F-47D2-8614-C93F7E6EE731}"/>
              </c:ext>
            </c:extLst>
          </c:dPt>
          <c:dPt>
            <c:idx val="12"/>
            <c:marker>
              <c:symbol val="none"/>
            </c:marker>
            <c:bubble3D val="0"/>
            <c:extLst>
              <c:ext xmlns:c16="http://schemas.microsoft.com/office/drawing/2014/chart" uri="{C3380CC4-5D6E-409C-BE32-E72D297353CC}">
                <c16:uniqueId val="{0000000D-C21F-47D2-8614-C93F7E6EE731}"/>
              </c:ext>
            </c:extLst>
          </c:dPt>
          <c:dPt>
            <c:idx val="13"/>
            <c:marker>
              <c:symbol val="none"/>
            </c:marker>
            <c:bubble3D val="0"/>
            <c:extLst>
              <c:ext xmlns:c16="http://schemas.microsoft.com/office/drawing/2014/chart" uri="{C3380CC4-5D6E-409C-BE32-E72D297353CC}">
                <c16:uniqueId val="{0000000E-C21F-47D2-8614-C93F7E6EE731}"/>
              </c:ext>
            </c:extLst>
          </c:dPt>
          <c:dPt>
            <c:idx val="14"/>
            <c:marker>
              <c:symbol val="none"/>
            </c:marker>
            <c:bubble3D val="0"/>
            <c:extLst>
              <c:ext xmlns:c16="http://schemas.microsoft.com/office/drawing/2014/chart" uri="{C3380CC4-5D6E-409C-BE32-E72D297353CC}">
                <c16:uniqueId val="{0000000F-C21F-47D2-8614-C93F7E6EE731}"/>
              </c:ext>
            </c:extLst>
          </c:dPt>
          <c:dPt>
            <c:idx val="15"/>
            <c:marker>
              <c:symbol val="none"/>
            </c:marker>
            <c:bubble3D val="0"/>
            <c:extLst>
              <c:ext xmlns:c16="http://schemas.microsoft.com/office/drawing/2014/chart" uri="{C3380CC4-5D6E-409C-BE32-E72D297353CC}">
                <c16:uniqueId val="{00000010-C21F-47D2-8614-C93F7E6EE731}"/>
              </c:ext>
            </c:extLst>
          </c:dPt>
          <c:dPt>
            <c:idx val="16"/>
            <c:marker>
              <c:symbol val="none"/>
            </c:marker>
            <c:bubble3D val="0"/>
            <c:extLst>
              <c:ext xmlns:c16="http://schemas.microsoft.com/office/drawing/2014/chart" uri="{C3380CC4-5D6E-409C-BE32-E72D297353CC}">
                <c16:uniqueId val="{00000011-C21F-47D2-8614-C93F7E6EE731}"/>
              </c:ext>
            </c:extLst>
          </c:dPt>
          <c:dPt>
            <c:idx val="17"/>
            <c:marker>
              <c:symbol val="none"/>
            </c:marker>
            <c:bubble3D val="0"/>
            <c:extLst>
              <c:ext xmlns:c16="http://schemas.microsoft.com/office/drawing/2014/chart" uri="{C3380CC4-5D6E-409C-BE32-E72D297353CC}">
                <c16:uniqueId val="{00000012-C21F-47D2-8614-C93F7E6EE731}"/>
              </c:ext>
            </c:extLst>
          </c:dPt>
          <c:dPt>
            <c:idx val="18"/>
            <c:marker>
              <c:symbol val="none"/>
            </c:marker>
            <c:bubble3D val="0"/>
            <c:extLst>
              <c:ext xmlns:c16="http://schemas.microsoft.com/office/drawing/2014/chart" uri="{C3380CC4-5D6E-409C-BE32-E72D297353CC}">
                <c16:uniqueId val="{00000013-C21F-47D2-8614-C93F7E6EE731}"/>
              </c:ext>
            </c:extLst>
          </c:dPt>
          <c:dPt>
            <c:idx val="19"/>
            <c:marker>
              <c:symbol val="none"/>
            </c:marker>
            <c:bubble3D val="0"/>
            <c:extLst>
              <c:ext xmlns:c16="http://schemas.microsoft.com/office/drawing/2014/chart" uri="{C3380CC4-5D6E-409C-BE32-E72D297353CC}">
                <c16:uniqueId val="{00000014-C21F-47D2-8614-C93F7E6EE731}"/>
              </c:ext>
            </c:extLst>
          </c:dPt>
          <c:dPt>
            <c:idx val="20"/>
            <c:marker>
              <c:symbol val="none"/>
            </c:marker>
            <c:bubble3D val="0"/>
            <c:extLst>
              <c:ext xmlns:c16="http://schemas.microsoft.com/office/drawing/2014/chart" uri="{C3380CC4-5D6E-409C-BE32-E72D297353CC}">
                <c16:uniqueId val="{00000015-C21F-47D2-8614-C93F7E6EE731}"/>
              </c:ext>
            </c:extLst>
          </c:dPt>
          <c:dPt>
            <c:idx val="21"/>
            <c:marker>
              <c:symbol val="none"/>
            </c:marker>
            <c:bubble3D val="0"/>
            <c:extLst>
              <c:ext xmlns:c16="http://schemas.microsoft.com/office/drawing/2014/chart" uri="{C3380CC4-5D6E-409C-BE32-E72D297353CC}">
                <c16:uniqueId val="{00000016-C21F-47D2-8614-C93F7E6EE731}"/>
              </c:ext>
            </c:extLst>
          </c:dPt>
          <c:dPt>
            <c:idx val="22"/>
            <c:marker>
              <c:symbol val="none"/>
            </c:marker>
            <c:bubble3D val="0"/>
            <c:extLst>
              <c:ext xmlns:c16="http://schemas.microsoft.com/office/drawing/2014/chart" uri="{C3380CC4-5D6E-409C-BE32-E72D297353CC}">
                <c16:uniqueId val="{00000017-C21F-47D2-8614-C93F7E6EE731}"/>
              </c:ext>
            </c:extLst>
          </c:dPt>
          <c:dLbls>
            <c:dLbl>
              <c:idx val="0"/>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21F-47D2-8614-C93F7E6EE731}"/>
                </c:ext>
              </c:extLst>
            </c:dLbl>
            <c:dLbl>
              <c:idx val="1"/>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21F-47D2-8614-C93F7E6EE731}"/>
                </c:ext>
              </c:extLst>
            </c:dLbl>
            <c:dLbl>
              <c:idx val="2"/>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cs-CZ"/>
                      <a:t>AAA</a:t>
                    </a:r>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21F-47D2-8614-C93F7E6EE731}"/>
                </c:ext>
              </c:extLst>
            </c:dLbl>
            <c:dLbl>
              <c:idx val="3"/>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21F-47D2-8614-C93F7E6EE731}"/>
                </c:ext>
              </c:extLst>
            </c:dLbl>
            <c:dLbl>
              <c:idx val="4"/>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21F-47D2-8614-C93F7E6EE731}"/>
                </c:ext>
              </c:extLst>
            </c:dLbl>
            <c:dLbl>
              <c:idx val="5"/>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cs-CZ"/>
                      <a:t>AAAAA</a:t>
                    </a:r>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21F-47D2-8614-C93F7E6EE731}"/>
                </c:ext>
              </c:extLst>
            </c:dLbl>
            <c:dLbl>
              <c:idx val="6"/>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C21F-47D2-8614-C93F7E6EE731}"/>
                </c:ext>
              </c:extLst>
            </c:dLbl>
            <c:dLbl>
              <c:idx val="7"/>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21F-47D2-8614-C93F7E6EE731}"/>
                </c:ext>
              </c:extLst>
            </c:dLbl>
            <c:dLbl>
              <c:idx val="8"/>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cs-CZ"/>
                      <a:t>DSAF</a:t>
                    </a:r>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21F-47D2-8614-C93F7E6EE731}"/>
                </c:ext>
              </c:extLst>
            </c:dLbl>
            <c:dLbl>
              <c:idx val="9"/>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21F-47D2-8614-C93F7E6EE731}"/>
                </c:ext>
              </c:extLst>
            </c:dLbl>
            <c:dLbl>
              <c:idx val="10"/>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21F-47D2-8614-C93F7E6EE731}"/>
                </c:ext>
              </c:extLst>
            </c:dLbl>
            <c:dLbl>
              <c:idx val="11"/>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cs-CZ"/>
                      <a:t>AQWSAQWSA</a:t>
                    </a:r>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C21F-47D2-8614-C93F7E6EE731}"/>
                </c:ext>
              </c:extLst>
            </c:dLbl>
            <c:dLbl>
              <c:idx val="12"/>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C21F-47D2-8614-C93F7E6EE731}"/>
                </c:ext>
              </c:extLst>
            </c:dLbl>
            <c:dLbl>
              <c:idx val="13"/>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C21F-47D2-8614-C93F7E6EE731}"/>
                </c:ext>
              </c:extLst>
            </c:dLbl>
            <c:dLbl>
              <c:idx val="14"/>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cs-CZ"/>
                      <a:t>YGGFL</a:t>
                    </a:r>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C21F-47D2-8614-C93F7E6EE731}"/>
                </c:ext>
              </c:extLst>
            </c:dLbl>
            <c:dLbl>
              <c:idx val="15"/>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C21F-47D2-8614-C93F7E6EE731}"/>
                </c:ext>
              </c:extLst>
            </c:dLbl>
            <c:dLbl>
              <c:idx val="16"/>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C21F-47D2-8614-C93F7E6EE731}"/>
                </c:ext>
              </c:extLst>
            </c:dLbl>
            <c:dLbl>
              <c:idx val="17"/>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cs-CZ"/>
                      <a:t>ASDERTFGYIPLKMN</a:t>
                    </a:r>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C21F-47D2-8614-C93F7E6EE731}"/>
                </c:ext>
              </c:extLst>
            </c:dLbl>
            <c:dLbl>
              <c:idx val="18"/>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C21F-47D2-8614-C93F7E6EE731}"/>
                </c:ext>
              </c:extLst>
            </c:dLbl>
            <c:dLbl>
              <c:idx val="19"/>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C21F-47D2-8614-C93F7E6EE731}"/>
                </c:ext>
              </c:extLst>
            </c:dLbl>
            <c:dLbl>
              <c:idx val="20"/>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r>
                      <a:rPr lang="cs-CZ"/>
                      <a:t>FFFF</a:t>
                    </a:r>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C21F-47D2-8614-C93F7E6EE731}"/>
                </c:ext>
              </c:extLst>
            </c:dLbl>
            <c:dLbl>
              <c:idx val="21"/>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C21F-47D2-8614-C93F7E6EE731}"/>
                </c:ext>
              </c:extLst>
            </c:dLbl>
            <c:dLbl>
              <c:idx val="22"/>
              <c:tx>
                <c:rich>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rich>
              </c:tx>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C21F-47D2-8614-C93F7E6EE7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cs-CZ"/>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'HPLC Prediction'!$V$2:$V$24</c:f>
              <c:numCache>
                <c:formatCode>General</c:formatCode>
                <c:ptCount val="23"/>
                <c:pt idx="0">
                  <c:v>0</c:v>
                </c:pt>
                <c:pt idx="1">
                  <c:v>3.3699999999999997</c:v>
                </c:pt>
                <c:pt idx="2">
                  <c:v>3.57</c:v>
                </c:pt>
                <c:pt idx="3">
                  <c:v>3.77</c:v>
                </c:pt>
                <c:pt idx="4">
                  <c:v>4.9399999999999995</c:v>
                </c:pt>
                <c:pt idx="5">
                  <c:v>5.14</c:v>
                </c:pt>
                <c:pt idx="6">
                  <c:v>5.34</c:v>
                </c:pt>
                <c:pt idx="7">
                  <c:v>11.430000000000001</c:v>
                </c:pt>
                <c:pt idx="8">
                  <c:v>11.63</c:v>
                </c:pt>
                <c:pt idx="9">
                  <c:v>11.83</c:v>
                </c:pt>
                <c:pt idx="10">
                  <c:v>16.96</c:v>
                </c:pt>
                <c:pt idx="11">
                  <c:v>17.16</c:v>
                </c:pt>
                <c:pt idx="12">
                  <c:v>17.36</c:v>
                </c:pt>
                <c:pt idx="13">
                  <c:v>18.190000000000001</c:v>
                </c:pt>
                <c:pt idx="14">
                  <c:v>18.39</c:v>
                </c:pt>
                <c:pt idx="15">
                  <c:v>18.59</c:v>
                </c:pt>
                <c:pt idx="16">
                  <c:v>24.57</c:v>
                </c:pt>
                <c:pt idx="17">
                  <c:v>24.77</c:v>
                </c:pt>
                <c:pt idx="18">
                  <c:v>24.97</c:v>
                </c:pt>
                <c:pt idx="19">
                  <c:v>29.8</c:v>
                </c:pt>
                <c:pt idx="20">
                  <c:v>30</c:v>
                </c:pt>
                <c:pt idx="21">
                  <c:v>30.2</c:v>
                </c:pt>
                <c:pt idx="22">
                  <c:v>31.2</c:v>
                </c:pt>
              </c:numCache>
            </c:numRef>
          </c:xVal>
          <c:yVal>
            <c:numRef>
              <c:f>'HPLC Prediction'!$W$2:$W$24</c:f>
              <c:numCache>
                <c:formatCode>General</c:formatCode>
                <c:ptCount val="23"/>
                <c:pt idx="0">
                  <c:v>0</c:v>
                </c:pt>
                <c:pt idx="1">
                  <c:v>0</c:v>
                </c:pt>
                <c:pt idx="2">
                  <c:v>1</c:v>
                </c:pt>
                <c:pt idx="3">
                  <c:v>0</c:v>
                </c:pt>
                <c:pt idx="4">
                  <c:v>0</c:v>
                </c:pt>
                <c:pt idx="5">
                  <c:v>0.7</c:v>
                </c:pt>
                <c:pt idx="6">
                  <c:v>0</c:v>
                </c:pt>
                <c:pt idx="7">
                  <c:v>0</c:v>
                </c:pt>
                <c:pt idx="8">
                  <c:v>1</c:v>
                </c:pt>
                <c:pt idx="9">
                  <c:v>0</c:v>
                </c:pt>
                <c:pt idx="10">
                  <c:v>0</c:v>
                </c:pt>
                <c:pt idx="11">
                  <c:v>0.7</c:v>
                </c:pt>
                <c:pt idx="12">
                  <c:v>0</c:v>
                </c:pt>
                <c:pt idx="13">
                  <c:v>0</c:v>
                </c:pt>
                <c:pt idx="14">
                  <c:v>1</c:v>
                </c:pt>
                <c:pt idx="15">
                  <c:v>0</c:v>
                </c:pt>
                <c:pt idx="16">
                  <c:v>0</c:v>
                </c:pt>
                <c:pt idx="17">
                  <c:v>0.7</c:v>
                </c:pt>
                <c:pt idx="18">
                  <c:v>0</c:v>
                </c:pt>
                <c:pt idx="19">
                  <c:v>0</c:v>
                </c:pt>
                <c:pt idx="20">
                  <c:v>1</c:v>
                </c:pt>
                <c:pt idx="21">
                  <c:v>0</c:v>
                </c:pt>
                <c:pt idx="22">
                  <c:v>0</c:v>
                </c:pt>
              </c:numCache>
            </c:numRef>
          </c:yVal>
          <c:smooth val="0"/>
          <c:extLst>
            <c:ext xmlns:c16="http://schemas.microsoft.com/office/drawing/2014/chart" uri="{C3380CC4-5D6E-409C-BE32-E72D297353CC}">
              <c16:uniqueId val="{00000000-C21F-47D2-8614-C93F7E6EE731}"/>
            </c:ext>
          </c:extLst>
        </c:ser>
        <c:dLbls>
          <c:showLegendKey val="0"/>
          <c:showVal val="0"/>
          <c:showCatName val="0"/>
          <c:showSerName val="0"/>
          <c:showPercent val="0"/>
          <c:showBubbleSize val="0"/>
        </c:dLbls>
        <c:axId val="417465832"/>
        <c:axId val="417466488"/>
      </c:scatterChart>
      <c:valAx>
        <c:axId val="417465832"/>
        <c:scaling>
          <c:orientation val="minMax"/>
          <c:max val="32"/>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17466488"/>
        <c:crosses val="autoZero"/>
        <c:crossBetween val="midCat"/>
      </c:valAx>
      <c:valAx>
        <c:axId val="417466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41746583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FYEPQIITTDNTF</a:t>
            </a:r>
          </a:p>
        </c:rich>
      </c:tx>
      <c:overlay val="0"/>
    </c:title>
    <c:autoTitleDeleted val="0"/>
    <c:plotArea>
      <c:layout/>
      <c:lineChart>
        <c:grouping val="standard"/>
        <c:varyColors val="0"/>
        <c:ser>
          <c:idx val="0"/>
          <c:order val="0"/>
          <c:tx>
            <c:strRef>
              <c:f>'Difficulty (Detail)'!$C$2:$C$10</c:f>
              <c:strCache>
                <c:ptCount val="9"/>
                <c:pt idx="0">
                  <c:v>0,87</c:v>
                </c:pt>
                <c:pt idx="1">
                  <c:v>0,97</c:v>
                </c:pt>
                <c:pt idx="2">
                  <c:v>1,06</c:v>
                </c:pt>
                <c:pt idx="3">
                  <c:v>1,07</c:v>
                </c:pt>
                <c:pt idx="4">
                  <c:v>1,25</c:v>
                </c:pt>
                <c:pt idx="5">
                  <c:v>1,22</c:v>
                </c:pt>
                <c:pt idx="6">
                  <c:v>1,10</c:v>
                </c:pt>
                <c:pt idx="7">
                  <c:v>1,01</c:v>
                </c:pt>
                <c:pt idx="8">
                  <c:v>0,99</c:v>
                </c:pt>
              </c:strCache>
            </c:strRef>
          </c:tx>
          <c:cat>
            <c:strRef>
              <c:f>'Difficulty (Detail)'!$B$11:$B$14</c:f>
              <c:strCache>
                <c:ptCount val="4"/>
                <c:pt idx="0">
                  <c:v>D</c:v>
                </c:pt>
                <c:pt idx="1">
                  <c:v>N</c:v>
                </c:pt>
                <c:pt idx="2">
                  <c:v>T</c:v>
                </c:pt>
                <c:pt idx="3">
                  <c:v>F</c:v>
                </c:pt>
              </c:strCache>
            </c:strRef>
          </c:cat>
          <c:val>
            <c:numRef>
              <c:f>'Difficulty (Detail)'!$C$11:$C$14</c:f>
              <c:numCache>
                <c:formatCode>General</c:formatCode>
                <c:ptCount val="4"/>
                <c:pt idx="0">
                  <c:v>0.88</c:v>
                </c:pt>
                <c:pt idx="1">
                  <c:v>0.88</c:v>
                </c:pt>
                <c:pt idx="2">
                  <c:v>0.88</c:v>
                </c:pt>
                <c:pt idx="3">
                  <c:v>0.88</c:v>
                </c:pt>
              </c:numCache>
            </c:numRef>
          </c:val>
          <c:smooth val="0"/>
          <c:extLst>
            <c:ext xmlns:c16="http://schemas.microsoft.com/office/drawing/2014/chart" uri="{C3380CC4-5D6E-409C-BE32-E72D297353CC}">
              <c16:uniqueId val="{00000000-3F6A-4448-94DC-1F1F80552DCA}"/>
            </c:ext>
          </c:extLst>
        </c:ser>
        <c:dLbls>
          <c:showLegendKey val="0"/>
          <c:showVal val="0"/>
          <c:showCatName val="0"/>
          <c:showSerName val="0"/>
          <c:showPercent val="0"/>
          <c:showBubbleSize val="0"/>
        </c:dLbls>
        <c:marker val="1"/>
        <c:smooth val="0"/>
        <c:axId val="728739936"/>
        <c:axId val="726857616"/>
      </c:lineChart>
      <c:catAx>
        <c:axId val="728739936"/>
        <c:scaling>
          <c:orientation val="minMax"/>
        </c:scaling>
        <c:delete val="0"/>
        <c:axPos val="b"/>
        <c:numFmt formatCode="General" sourceLinked="1"/>
        <c:majorTickMark val="out"/>
        <c:minorTickMark val="none"/>
        <c:tickLblPos val="nextTo"/>
        <c:crossAx val="726857616"/>
        <c:crosses val="autoZero"/>
        <c:auto val="1"/>
        <c:lblAlgn val="ctr"/>
        <c:lblOffset val="100"/>
        <c:noMultiLvlLbl val="0"/>
      </c:catAx>
      <c:valAx>
        <c:axId val="726857616"/>
        <c:scaling>
          <c:orientation val="minMax"/>
        </c:scaling>
        <c:delete val="0"/>
        <c:axPos val="l"/>
        <c:majorGridlines/>
        <c:numFmt formatCode="General" sourceLinked="1"/>
        <c:majorTickMark val="out"/>
        <c:minorTickMark val="none"/>
        <c:tickLblPos val="nextTo"/>
        <c:crossAx val="728739936"/>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8.emf"/><Relationship Id="rId1" Type="http://schemas.openxmlformats.org/officeDocument/2006/relationships/image" Target="../media/image9.emf"/><Relationship Id="rId4"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3665220</xdr:colOff>
          <xdr:row>11</xdr:row>
          <xdr:rowOff>152400</xdr:rowOff>
        </xdr:from>
        <xdr:to>
          <xdr:col>0</xdr:col>
          <xdr:colOff>5059680</xdr:colOff>
          <xdr:row>13</xdr:row>
          <xdr:rowOff>68580</xdr:rowOff>
        </xdr:to>
        <xdr:sp macro="" textlink="">
          <xdr:nvSpPr>
            <xdr:cNvPr id="15361" name="MolecularWeights"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3665220</xdr:colOff>
          <xdr:row>13</xdr:row>
          <xdr:rowOff>144780</xdr:rowOff>
        </xdr:from>
        <xdr:to>
          <xdr:col>0</xdr:col>
          <xdr:colOff>5059680</xdr:colOff>
          <xdr:row>15</xdr:row>
          <xdr:rowOff>38100</xdr:rowOff>
        </xdr:to>
        <xdr:sp macro="" textlink="">
          <xdr:nvSpPr>
            <xdr:cNvPr id="15362" name="DifficultySheet"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5128260</xdr:colOff>
          <xdr:row>13</xdr:row>
          <xdr:rowOff>137160</xdr:rowOff>
        </xdr:from>
        <xdr:to>
          <xdr:col>2</xdr:col>
          <xdr:colOff>411480</xdr:colOff>
          <xdr:row>15</xdr:row>
          <xdr:rowOff>30480</xdr:rowOff>
        </xdr:to>
        <xdr:sp macro="" textlink="">
          <xdr:nvSpPr>
            <xdr:cNvPr id="15363" name="DifficultyDetail"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3657600</xdr:colOff>
          <xdr:row>15</xdr:row>
          <xdr:rowOff>121920</xdr:rowOff>
        </xdr:from>
        <xdr:to>
          <xdr:col>0</xdr:col>
          <xdr:colOff>5052060</xdr:colOff>
          <xdr:row>17</xdr:row>
          <xdr:rowOff>22860</xdr:rowOff>
        </xdr:to>
        <xdr:sp macro="" textlink="">
          <xdr:nvSpPr>
            <xdr:cNvPr id="15364" name="HPLC"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0</xdr:row>
          <xdr:rowOff>0</xdr:rowOff>
        </xdr:from>
        <xdr:to>
          <xdr:col>6</xdr:col>
          <xdr:colOff>38100</xdr:colOff>
          <xdr:row>1</xdr:row>
          <xdr:rowOff>38100</xdr:rowOff>
        </xdr:to>
        <xdr:sp macro="" textlink="">
          <xdr:nvSpPr>
            <xdr:cNvPr id="5121" name="cmdPredictHPLCCommandButton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xdr:row>
          <xdr:rowOff>22860</xdr:rowOff>
        </xdr:from>
        <xdr:to>
          <xdr:col>6</xdr:col>
          <xdr:colOff>335280</xdr:colOff>
          <xdr:row>3</xdr:row>
          <xdr:rowOff>30480</xdr:rowOff>
        </xdr:to>
        <xdr:sp macro="" textlink="">
          <xdr:nvSpPr>
            <xdr:cNvPr id="5125" name="chkAcid" hidden="1">
              <a:extLst>
                <a:ext uri="{63B3BB69-23CF-44E3-9099-C40C66FF867C}">
                  <a14:compatExt spid="_x0000_s5125"/>
                </a:ext>
                <a:ext uri="{FF2B5EF4-FFF2-40B4-BE49-F238E27FC236}">
                  <a16:creationId xmlns:a16="http://schemas.microsoft.com/office/drawing/2014/main" id="{00000000-0008-0000-01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xdr:row>
          <xdr:rowOff>76200</xdr:rowOff>
        </xdr:from>
        <xdr:to>
          <xdr:col>6</xdr:col>
          <xdr:colOff>601980</xdr:colOff>
          <xdr:row>4</xdr:row>
          <xdr:rowOff>76200</xdr:rowOff>
        </xdr:to>
        <xdr:sp macro="" textlink="">
          <xdr:nvSpPr>
            <xdr:cNvPr id="5126" name="chkAcetyl" hidden="1">
              <a:extLst>
                <a:ext uri="{63B3BB69-23CF-44E3-9099-C40C66FF867C}">
                  <a14:compatExt spid="_x0000_s5126"/>
                </a:ext>
                <a:ext uri="{FF2B5EF4-FFF2-40B4-BE49-F238E27FC236}">
                  <a16:creationId xmlns:a16="http://schemas.microsoft.com/office/drawing/2014/main" id="{00000000-0008-0000-01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404812</xdr:colOff>
      <xdr:row>10</xdr:row>
      <xdr:rowOff>23812</xdr:rowOff>
    </xdr:from>
    <xdr:to>
      <xdr:col>12</xdr:col>
      <xdr:colOff>100012</xdr:colOff>
      <xdr:row>24</xdr:row>
      <xdr:rowOff>100012</xdr:rowOff>
    </xdr:to>
    <xdr:graphicFrame macro="">
      <xdr:nvGraphicFramePr>
        <xdr:cNvPr id="2" name="Chart 1">
          <a:extLst>
            <a:ext uri="{FF2B5EF4-FFF2-40B4-BE49-F238E27FC236}">
              <a16:creationId xmlns:a16="http://schemas.microsoft.com/office/drawing/2014/main" id="{2AC62B6F-7E43-4958-8917-0E803D9D02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83820</xdr:colOff>
          <xdr:row>3</xdr:row>
          <xdr:rowOff>0</xdr:rowOff>
        </xdr:from>
        <xdr:to>
          <xdr:col>5</xdr:col>
          <xdr:colOff>403860</xdr:colOff>
          <xdr:row>4</xdr:row>
          <xdr:rowOff>22860</xdr:rowOff>
        </xdr:to>
        <xdr:sp macro="" textlink="">
          <xdr:nvSpPr>
            <xdr:cNvPr id="9220" name="chkAcid"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xdr:row>
          <xdr:rowOff>7620</xdr:rowOff>
        </xdr:from>
        <xdr:to>
          <xdr:col>6</xdr:col>
          <xdr:colOff>45720</xdr:colOff>
          <xdr:row>5</xdr:row>
          <xdr:rowOff>22860</xdr:rowOff>
        </xdr:to>
        <xdr:sp macro="" textlink="">
          <xdr:nvSpPr>
            <xdr:cNvPr id="9222" name="chkAcetyl" hidden="1">
              <a:extLst>
                <a:ext uri="{63B3BB69-23CF-44E3-9099-C40C66FF867C}">
                  <a14:compatExt spid="_x0000_s9222"/>
                </a:ext>
                <a:ext uri="{FF2B5EF4-FFF2-40B4-BE49-F238E27FC236}">
                  <a16:creationId xmlns:a16="http://schemas.microsoft.com/office/drawing/2014/main" id="{00000000-0008-0000-02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xdr:colOff>
          <xdr:row>0</xdr:row>
          <xdr:rowOff>22860</xdr:rowOff>
        </xdr:from>
        <xdr:to>
          <xdr:col>5</xdr:col>
          <xdr:colOff>236220</xdr:colOff>
          <xdr:row>1</xdr:row>
          <xdr:rowOff>160020</xdr:rowOff>
        </xdr:to>
        <xdr:sp macro="" textlink="">
          <xdr:nvSpPr>
            <xdr:cNvPr id="9223" name="cmdCalculateMW" hidden="1">
              <a:extLst>
                <a:ext uri="{63B3BB69-23CF-44E3-9099-C40C66FF867C}">
                  <a14:compatExt spid="_x0000_s9223"/>
                </a:ext>
                <a:ext uri="{FF2B5EF4-FFF2-40B4-BE49-F238E27FC236}">
                  <a16:creationId xmlns:a16="http://schemas.microsoft.com/office/drawing/2014/main" id="{00000000-0008-0000-02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6</xdr:row>
          <xdr:rowOff>22860</xdr:rowOff>
        </xdr:from>
        <xdr:to>
          <xdr:col>7</xdr:col>
          <xdr:colOff>594360</xdr:colOff>
          <xdr:row>16</xdr:row>
          <xdr:rowOff>38100</xdr:rowOff>
        </xdr:to>
        <xdr:sp macro="" textlink="">
          <xdr:nvSpPr>
            <xdr:cNvPr id="9225" name="TextBox1"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30480</xdr:colOff>
          <xdr:row>0</xdr:row>
          <xdr:rowOff>38100</xdr:rowOff>
        </xdr:from>
        <xdr:to>
          <xdr:col>6</xdr:col>
          <xdr:colOff>57150</xdr:colOff>
          <xdr:row>0</xdr:row>
          <xdr:rowOff>381000</xdr:rowOff>
        </xdr:to>
        <xdr:sp macro="" textlink="">
          <xdr:nvSpPr>
            <xdr:cNvPr id="2050" name="cmdDifCoupSheet"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30480</xdr:colOff>
          <xdr:row>0</xdr:row>
          <xdr:rowOff>30480</xdr:rowOff>
        </xdr:from>
        <xdr:to>
          <xdr:col>7</xdr:col>
          <xdr:colOff>472440</xdr:colOff>
          <xdr:row>2</xdr:row>
          <xdr:rowOff>0</xdr:rowOff>
        </xdr:to>
        <xdr:sp macro="" textlink="">
          <xdr:nvSpPr>
            <xdr:cNvPr id="3073" name="cmdPredictDiffInd"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342900</xdr:colOff>
      <xdr:row>11</xdr:row>
      <xdr:rowOff>157162</xdr:rowOff>
    </xdr:from>
    <xdr:to>
      <xdr:col>17</xdr:col>
      <xdr:colOff>514350</xdr:colOff>
      <xdr:row>27</xdr:row>
      <xdr:rowOff>4762</xdr:rowOff>
    </xdr:to>
    <xdr:graphicFrame macro="">
      <xdr:nvGraphicFramePr>
        <xdr:cNvPr id="9" name="Chart 8">
          <a:extLst>
            <a:ext uri="{FF2B5EF4-FFF2-40B4-BE49-F238E27FC236}">
              <a16:creationId xmlns:a16="http://schemas.microsoft.com/office/drawing/2014/main" id="{8A4C4229-32A6-3173-584F-830042B200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 Id="rId9" Type="http://schemas.openxmlformats.org/officeDocument/2006/relationships/image" Target="../media/image7.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3.vml"/><Relationship Id="rId7" Type="http://schemas.openxmlformats.org/officeDocument/2006/relationships/image" Target="../media/image9.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9.xml"/><Relationship Id="rId11" Type="http://schemas.openxmlformats.org/officeDocument/2006/relationships/image" Target="../media/image11.emf"/><Relationship Id="rId5" Type="http://schemas.openxmlformats.org/officeDocument/2006/relationships/image" Target="../media/image8.emf"/><Relationship Id="rId10" Type="http://schemas.openxmlformats.org/officeDocument/2006/relationships/control" Target="../activeX/activeX11.xml"/><Relationship Id="rId4" Type="http://schemas.openxmlformats.org/officeDocument/2006/relationships/control" Target="../activeX/activeX8.xml"/><Relationship Id="rId9" Type="http://schemas.openxmlformats.org/officeDocument/2006/relationships/image" Target="../media/image10.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12.emf"/><Relationship Id="rId4" Type="http://schemas.openxmlformats.org/officeDocument/2006/relationships/control" Target="../activeX/activeX12.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13.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image" Target="../media/image13.emf"/></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EBD4C-C1F1-497E-900D-0C2CDBB13728}">
  <sheetPr codeName="Sheet8"/>
  <dimension ref="A1:A17"/>
  <sheetViews>
    <sheetView zoomScaleNormal="100" workbookViewId="0">
      <selection activeCell="A5" sqref="A5"/>
    </sheetView>
  </sheetViews>
  <sheetFormatPr defaultRowHeight="14.4" x14ac:dyDescent="0.3"/>
  <cols>
    <col min="1" max="1" width="82.44140625" customWidth="1"/>
  </cols>
  <sheetData>
    <row r="1" spans="1:1" ht="18" x14ac:dyDescent="0.35">
      <c r="A1" s="18" t="s">
        <v>127</v>
      </c>
    </row>
    <row r="3" spans="1:1" ht="72" x14ac:dyDescent="0.3">
      <c r="A3" s="2" t="s">
        <v>134</v>
      </c>
    </row>
    <row r="5" spans="1:1" ht="72" x14ac:dyDescent="0.3">
      <c r="A5" s="2" t="s">
        <v>135</v>
      </c>
    </row>
    <row r="7" spans="1:1" ht="28.8" x14ac:dyDescent="0.3">
      <c r="A7" s="2" t="s">
        <v>133</v>
      </c>
    </row>
    <row r="9" spans="1:1" x14ac:dyDescent="0.3">
      <c r="A9" t="s">
        <v>128</v>
      </c>
    </row>
    <row r="11" spans="1:1" x14ac:dyDescent="0.3">
      <c r="A11" t="s">
        <v>129</v>
      </c>
    </row>
    <row r="13" spans="1:1" x14ac:dyDescent="0.3">
      <c r="A13" t="s">
        <v>130</v>
      </c>
    </row>
    <row r="15" spans="1:1" x14ac:dyDescent="0.3">
      <c r="A15" t="s">
        <v>131</v>
      </c>
    </row>
    <row r="17" spans="1:1" x14ac:dyDescent="0.3">
      <c r="A17" t="s">
        <v>132</v>
      </c>
    </row>
  </sheetData>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15361" r:id="rId4" name="MolecularWeights">
          <controlPr defaultSize="0" autoLine="0" autoPict="0" r:id="rId5">
            <anchor moveWithCells="1">
              <from>
                <xdr:col>0</xdr:col>
                <xdr:colOff>3665220</xdr:colOff>
                <xdr:row>11</xdr:row>
                <xdr:rowOff>152400</xdr:rowOff>
              </from>
              <to>
                <xdr:col>0</xdr:col>
                <xdr:colOff>5059680</xdr:colOff>
                <xdr:row>13</xdr:row>
                <xdr:rowOff>68580</xdr:rowOff>
              </to>
            </anchor>
          </controlPr>
        </control>
      </mc:Choice>
      <mc:Fallback>
        <control shapeId="15361" r:id="rId4" name="MolecularWeights"/>
      </mc:Fallback>
    </mc:AlternateContent>
    <mc:AlternateContent xmlns:mc="http://schemas.openxmlformats.org/markup-compatibility/2006">
      <mc:Choice Requires="x14">
        <control shapeId="15362" r:id="rId6" name="DifficultySheet">
          <controlPr defaultSize="0" autoLine="0" autoPict="0" r:id="rId7">
            <anchor moveWithCells="1">
              <from>
                <xdr:col>0</xdr:col>
                <xdr:colOff>3665220</xdr:colOff>
                <xdr:row>13</xdr:row>
                <xdr:rowOff>144780</xdr:rowOff>
              </from>
              <to>
                <xdr:col>0</xdr:col>
                <xdr:colOff>5059680</xdr:colOff>
                <xdr:row>15</xdr:row>
                <xdr:rowOff>38100</xdr:rowOff>
              </to>
            </anchor>
          </controlPr>
        </control>
      </mc:Choice>
      <mc:Fallback>
        <control shapeId="15362" r:id="rId6" name="DifficultySheet"/>
      </mc:Fallback>
    </mc:AlternateContent>
    <mc:AlternateContent xmlns:mc="http://schemas.openxmlformats.org/markup-compatibility/2006">
      <mc:Choice Requires="x14">
        <control shapeId="15363" r:id="rId8" name="DifficultyDetail">
          <controlPr defaultSize="0" autoLine="0" r:id="rId9">
            <anchor moveWithCells="1">
              <from>
                <xdr:col>0</xdr:col>
                <xdr:colOff>5128260</xdr:colOff>
                <xdr:row>13</xdr:row>
                <xdr:rowOff>137160</xdr:rowOff>
              </from>
              <to>
                <xdr:col>2</xdr:col>
                <xdr:colOff>251460</xdr:colOff>
                <xdr:row>15</xdr:row>
                <xdr:rowOff>45720</xdr:rowOff>
              </to>
            </anchor>
          </controlPr>
        </control>
      </mc:Choice>
      <mc:Fallback>
        <control shapeId="15363" r:id="rId8" name="DifficultyDetail"/>
      </mc:Fallback>
    </mc:AlternateContent>
    <mc:AlternateContent xmlns:mc="http://schemas.openxmlformats.org/markup-compatibility/2006">
      <mc:Choice Requires="x14">
        <control shapeId="15364" r:id="rId10" name="HPLC">
          <controlPr defaultSize="0" autoLine="0" r:id="rId11">
            <anchor moveWithCells="1">
              <from>
                <xdr:col>0</xdr:col>
                <xdr:colOff>3657600</xdr:colOff>
                <xdr:row>15</xdr:row>
                <xdr:rowOff>121920</xdr:rowOff>
              </from>
              <to>
                <xdr:col>0</xdr:col>
                <xdr:colOff>5052060</xdr:colOff>
                <xdr:row>17</xdr:row>
                <xdr:rowOff>38100</xdr:rowOff>
              </to>
            </anchor>
          </controlPr>
        </control>
      </mc:Choice>
      <mc:Fallback>
        <control shapeId="15364" r:id="rId10" name="HPLC"/>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180E8-8324-4C06-9AFB-D7EEE52DF3A3}">
  <sheetPr codeName="Sheet2"/>
  <dimension ref="A1:AG86"/>
  <sheetViews>
    <sheetView workbookViewId="0"/>
  </sheetViews>
  <sheetFormatPr defaultColWidth="9.109375" defaultRowHeight="14.4" x14ac:dyDescent="0.3"/>
  <cols>
    <col min="1" max="1" width="21.33203125" style="1" customWidth="1"/>
    <col min="2" max="2" width="9.109375" style="1"/>
    <col min="3" max="3" width="9.109375" style="12"/>
    <col min="4" max="16384" width="9.109375" style="1"/>
  </cols>
  <sheetData>
    <row r="1" spans="1:33" ht="25.8" x14ac:dyDescent="0.5">
      <c r="A1" s="6" t="s">
        <v>0</v>
      </c>
      <c r="K1" s="6"/>
      <c r="U1" s="6" t="s">
        <v>0</v>
      </c>
      <c r="Z1" s="11"/>
      <c r="AC1" s="11"/>
      <c r="AD1" s="11"/>
      <c r="AE1" s="11"/>
      <c r="AF1" s="11"/>
      <c r="AG1" s="11"/>
    </row>
    <row r="2" spans="1:33" s="14" customFormat="1" ht="15.9" customHeight="1" x14ac:dyDescent="0.5">
      <c r="A2" s="14" t="s">
        <v>87</v>
      </c>
      <c r="B2" s="14">
        <v>3.57</v>
      </c>
      <c r="C2" s="19">
        <v>1</v>
      </c>
      <c r="U2" s="6"/>
      <c r="V2" s="1">
        <v>0</v>
      </c>
      <c r="W2" s="1">
        <v>0</v>
      </c>
      <c r="Z2" s="15"/>
      <c r="AC2" s="15"/>
      <c r="AD2" s="15"/>
      <c r="AE2" s="15"/>
      <c r="AF2" s="15"/>
      <c r="AG2" s="15"/>
    </row>
    <row r="3" spans="1:33" s="14" customFormat="1" ht="15.9" customHeight="1" x14ac:dyDescent="0.5">
      <c r="A3" s="14" t="s">
        <v>92</v>
      </c>
      <c r="B3" s="14">
        <v>5.14</v>
      </c>
      <c r="C3" s="19">
        <v>0.7</v>
      </c>
      <c r="U3" s="6"/>
      <c r="V3" s="1">
        <f>V4-0.2</f>
        <v>3.3699999999999997</v>
      </c>
      <c r="W3" s="1">
        <v>0</v>
      </c>
      <c r="Z3" s="15"/>
      <c r="AC3" s="15"/>
      <c r="AD3" s="15"/>
      <c r="AE3" s="15"/>
      <c r="AF3" s="15"/>
      <c r="AG3" s="15"/>
    </row>
    <row r="4" spans="1:33" s="14" customFormat="1" ht="15.9" customHeight="1" x14ac:dyDescent="0.3">
      <c r="A4" s="14" t="s">
        <v>88</v>
      </c>
      <c r="B4" s="14">
        <v>11.63</v>
      </c>
      <c r="C4" s="19">
        <v>1</v>
      </c>
      <c r="U4" s="14" t="s">
        <v>87</v>
      </c>
      <c r="V4" s="14">
        <v>3.57</v>
      </c>
      <c r="W4" s="14">
        <v>1</v>
      </c>
      <c r="Z4" s="15"/>
      <c r="AC4" s="15"/>
      <c r="AD4" s="15"/>
      <c r="AE4" s="15"/>
      <c r="AF4" s="15"/>
      <c r="AG4" s="15"/>
    </row>
    <row r="5" spans="1:33" s="14" customFormat="1" ht="15.9" customHeight="1" x14ac:dyDescent="0.3">
      <c r="A5" s="14" t="s">
        <v>126</v>
      </c>
      <c r="B5" s="14">
        <v>17.16</v>
      </c>
      <c r="C5" s="19">
        <v>0.7</v>
      </c>
      <c r="V5" s="14">
        <f>V4+0.2</f>
        <v>3.77</v>
      </c>
      <c r="W5" s="14">
        <v>0</v>
      </c>
      <c r="Z5" s="15"/>
      <c r="AC5" s="15"/>
      <c r="AD5" s="15"/>
      <c r="AE5" s="15"/>
      <c r="AF5" s="15"/>
      <c r="AG5" s="15"/>
    </row>
    <row r="6" spans="1:33" s="14" customFormat="1" ht="15.9" customHeight="1" x14ac:dyDescent="0.3">
      <c r="A6" s="14" t="s">
        <v>79</v>
      </c>
      <c r="B6" s="14">
        <v>18.39</v>
      </c>
      <c r="C6" s="19">
        <v>1</v>
      </c>
      <c r="V6" s="14">
        <f>V7-0.2</f>
        <v>4.9399999999999995</v>
      </c>
      <c r="W6" s="14">
        <v>0</v>
      </c>
      <c r="Z6" s="15"/>
      <c r="AC6" s="15"/>
      <c r="AD6" s="15"/>
      <c r="AE6" s="15"/>
      <c r="AF6" s="15"/>
      <c r="AG6" s="15"/>
    </row>
    <row r="7" spans="1:33" s="14" customFormat="1" ht="15.9" customHeight="1" x14ac:dyDescent="0.3">
      <c r="A7" s="14" t="s">
        <v>90</v>
      </c>
      <c r="B7" s="14">
        <v>24.77</v>
      </c>
      <c r="C7" s="19">
        <v>0.7</v>
      </c>
      <c r="U7" s="14" t="s">
        <v>92</v>
      </c>
      <c r="V7" s="14">
        <v>5.14</v>
      </c>
      <c r="W7" s="14">
        <v>0.7</v>
      </c>
      <c r="Z7" s="15"/>
      <c r="AC7" s="15"/>
      <c r="AD7" s="15"/>
      <c r="AE7" s="15"/>
      <c r="AF7" s="15"/>
      <c r="AG7" s="15"/>
    </row>
    <row r="8" spans="1:33" s="14" customFormat="1" ht="15.9" customHeight="1" x14ac:dyDescent="0.3">
      <c r="A8" s="14" t="s">
        <v>91</v>
      </c>
      <c r="B8" s="14">
        <v>30</v>
      </c>
      <c r="C8" s="19">
        <v>1</v>
      </c>
      <c r="V8" s="14">
        <f>V7+0.2</f>
        <v>5.34</v>
      </c>
      <c r="W8" s="14">
        <v>0</v>
      </c>
      <c r="Z8" s="15"/>
      <c r="AC8" s="15"/>
      <c r="AD8" s="15"/>
      <c r="AE8" s="15"/>
      <c r="AF8" s="15"/>
      <c r="AG8" s="15"/>
    </row>
    <row r="9" spans="1:33" s="14" customFormat="1" ht="15.9" customHeight="1" x14ac:dyDescent="0.3">
      <c r="C9" s="19"/>
      <c r="V9" s="14">
        <f>V10-0.2</f>
        <v>11.430000000000001</v>
      </c>
      <c r="W9" s="14">
        <v>0</v>
      </c>
      <c r="Z9" s="15"/>
      <c r="AC9" s="15"/>
      <c r="AD9" s="15"/>
      <c r="AE9" s="15"/>
      <c r="AF9" s="15"/>
      <c r="AG9" s="15"/>
    </row>
    <row r="10" spans="1:33" s="14" customFormat="1" x14ac:dyDescent="0.3">
      <c r="C10" s="19"/>
      <c r="U10" s="14" t="s">
        <v>88</v>
      </c>
      <c r="V10" s="14">
        <v>11.63</v>
      </c>
      <c r="W10" s="14">
        <v>1</v>
      </c>
      <c r="Z10" s="15"/>
      <c r="AC10" s="15"/>
      <c r="AD10" s="15"/>
      <c r="AE10" s="15"/>
      <c r="AF10" s="15"/>
      <c r="AG10" s="15"/>
    </row>
    <row r="11" spans="1:33" s="14" customFormat="1" x14ac:dyDescent="0.3">
      <c r="C11" s="19"/>
      <c r="V11" s="14">
        <f>V10+0.2</f>
        <v>11.83</v>
      </c>
      <c r="W11" s="14">
        <v>0</v>
      </c>
      <c r="Z11" s="15"/>
      <c r="AC11" s="15"/>
      <c r="AD11" s="15"/>
      <c r="AE11" s="15"/>
      <c r="AF11" s="15"/>
      <c r="AG11" s="15"/>
    </row>
    <row r="12" spans="1:33" s="14" customFormat="1" x14ac:dyDescent="0.3">
      <c r="C12" s="19"/>
      <c r="V12" s="14">
        <f>V13-0.2</f>
        <v>16.96</v>
      </c>
      <c r="W12" s="14">
        <v>0</v>
      </c>
      <c r="Z12" s="15"/>
      <c r="AC12" s="15"/>
      <c r="AD12" s="15"/>
      <c r="AE12" s="15"/>
      <c r="AF12" s="15"/>
      <c r="AG12" s="15"/>
    </row>
    <row r="13" spans="1:33" s="14" customFormat="1" x14ac:dyDescent="0.3">
      <c r="C13" s="19"/>
      <c r="U13" s="14" t="s">
        <v>126</v>
      </c>
      <c r="V13" s="14">
        <v>17.16</v>
      </c>
      <c r="W13" s="14">
        <v>0.7</v>
      </c>
      <c r="Z13" s="15"/>
      <c r="AC13" s="15"/>
      <c r="AD13" s="15"/>
      <c r="AE13" s="15"/>
      <c r="AF13" s="15"/>
      <c r="AG13" s="15"/>
    </row>
    <row r="14" spans="1:33" s="14" customFormat="1" x14ac:dyDescent="0.3">
      <c r="C14" s="19"/>
      <c r="V14" s="14">
        <f>V13+0.2</f>
        <v>17.36</v>
      </c>
      <c r="W14" s="14">
        <v>0</v>
      </c>
      <c r="Z14" s="15"/>
      <c r="AC14" s="15"/>
      <c r="AD14" s="15"/>
      <c r="AE14" s="15"/>
      <c r="AF14" s="15"/>
      <c r="AG14" s="15"/>
    </row>
    <row r="15" spans="1:33" s="14" customFormat="1" x14ac:dyDescent="0.3">
      <c r="C15" s="19"/>
      <c r="V15" s="14">
        <f>V16-0.2</f>
        <v>18.190000000000001</v>
      </c>
      <c r="W15" s="14">
        <v>0</v>
      </c>
      <c r="Z15" s="15"/>
      <c r="AC15" s="15"/>
      <c r="AD15" s="15"/>
      <c r="AE15" s="15"/>
      <c r="AF15" s="15"/>
      <c r="AG15" s="15"/>
    </row>
    <row r="16" spans="1:33" s="14" customFormat="1" x14ac:dyDescent="0.3">
      <c r="C16" s="19"/>
      <c r="U16" s="14" t="s">
        <v>79</v>
      </c>
      <c r="V16" s="14">
        <v>18.39</v>
      </c>
      <c r="W16" s="14">
        <v>1</v>
      </c>
      <c r="Z16" s="15"/>
      <c r="AC16" s="15"/>
      <c r="AD16" s="15"/>
      <c r="AE16" s="15"/>
      <c r="AF16" s="15"/>
      <c r="AG16" s="15"/>
    </row>
    <row r="17" spans="3:33" s="14" customFormat="1" x14ac:dyDescent="0.3">
      <c r="C17" s="19"/>
      <c r="V17" s="14">
        <f>V16+0.2</f>
        <v>18.59</v>
      </c>
      <c r="W17" s="14">
        <v>0</v>
      </c>
      <c r="Z17" s="15"/>
      <c r="AC17" s="15"/>
      <c r="AD17" s="15"/>
      <c r="AE17" s="15"/>
      <c r="AF17" s="15"/>
      <c r="AG17" s="15"/>
    </row>
    <row r="18" spans="3:33" s="14" customFormat="1" x14ac:dyDescent="0.3">
      <c r="C18" s="19"/>
      <c r="V18" s="14">
        <f>V19-0.2</f>
        <v>24.57</v>
      </c>
      <c r="W18" s="14">
        <v>0</v>
      </c>
      <c r="Z18" s="15"/>
      <c r="AC18" s="15"/>
      <c r="AD18" s="15"/>
      <c r="AE18" s="15"/>
      <c r="AF18" s="15"/>
      <c r="AG18" s="15"/>
    </row>
    <row r="19" spans="3:33" s="14" customFormat="1" x14ac:dyDescent="0.3">
      <c r="C19" s="19"/>
      <c r="U19" s="14" t="s">
        <v>90</v>
      </c>
      <c r="V19" s="14">
        <v>24.77</v>
      </c>
      <c r="W19" s="14">
        <v>0.7</v>
      </c>
      <c r="Z19" s="15"/>
      <c r="AC19" s="15"/>
      <c r="AD19" s="15"/>
      <c r="AE19" s="15"/>
      <c r="AF19" s="15"/>
      <c r="AG19" s="15"/>
    </row>
    <row r="20" spans="3:33" s="14" customFormat="1" x14ac:dyDescent="0.3">
      <c r="C20" s="19"/>
      <c r="V20" s="14">
        <f>V19+0.2</f>
        <v>24.97</v>
      </c>
      <c r="W20" s="14">
        <v>0</v>
      </c>
      <c r="Z20" s="15"/>
      <c r="AC20" s="15"/>
      <c r="AD20" s="15"/>
      <c r="AE20" s="15"/>
      <c r="AF20" s="15"/>
      <c r="AG20" s="15"/>
    </row>
    <row r="21" spans="3:33" s="14" customFormat="1" x14ac:dyDescent="0.3">
      <c r="C21" s="19"/>
      <c r="V21" s="14">
        <f>V22-0.2</f>
        <v>29.8</v>
      </c>
      <c r="W21" s="14">
        <v>0</v>
      </c>
      <c r="Z21" s="15"/>
      <c r="AC21" s="15"/>
      <c r="AD21" s="15"/>
      <c r="AE21" s="15"/>
      <c r="AF21" s="15"/>
      <c r="AG21" s="15"/>
    </row>
    <row r="22" spans="3:33" s="14" customFormat="1" x14ac:dyDescent="0.3">
      <c r="C22" s="19"/>
      <c r="U22" s="14" t="s">
        <v>91</v>
      </c>
      <c r="V22" s="14">
        <v>30</v>
      </c>
      <c r="W22" s="14">
        <v>1</v>
      </c>
      <c r="Z22" s="15"/>
      <c r="AC22" s="15"/>
      <c r="AD22" s="15"/>
      <c r="AE22" s="15"/>
      <c r="AF22" s="15"/>
      <c r="AG22" s="15"/>
    </row>
    <row r="23" spans="3:33" s="14" customFormat="1" x14ac:dyDescent="0.3">
      <c r="C23" s="19"/>
      <c r="V23" s="14">
        <f>V22+0.2</f>
        <v>30.2</v>
      </c>
      <c r="W23" s="14">
        <v>0</v>
      </c>
      <c r="Z23" s="15"/>
      <c r="AC23" s="15"/>
      <c r="AD23" s="15"/>
      <c r="AE23" s="15"/>
      <c r="AF23" s="15"/>
      <c r="AG23" s="15"/>
    </row>
    <row r="24" spans="3:33" s="14" customFormat="1" x14ac:dyDescent="0.3">
      <c r="C24" s="19"/>
      <c r="V24" s="14">
        <f>V23+1</f>
        <v>31.2</v>
      </c>
      <c r="W24" s="14">
        <v>0</v>
      </c>
      <c r="Z24" s="15"/>
      <c r="AC24" s="15"/>
      <c r="AD24" s="15"/>
      <c r="AE24" s="15"/>
      <c r="AF24" s="15"/>
      <c r="AG24" s="15"/>
    </row>
    <row r="25" spans="3:33" s="14" customFormat="1" x14ac:dyDescent="0.3">
      <c r="C25" s="19"/>
      <c r="Z25" s="15"/>
      <c r="AC25" s="15"/>
      <c r="AD25" s="15"/>
      <c r="AE25" s="15"/>
      <c r="AF25" s="15"/>
      <c r="AG25" s="15"/>
    </row>
    <row r="26" spans="3:33" s="14" customFormat="1" x14ac:dyDescent="0.3">
      <c r="C26" s="19"/>
      <c r="Z26" s="15"/>
      <c r="AC26" s="15"/>
      <c r="AD26" s="15"/>
      <c r="AE26" s="15"/>
      <c r="AF26" s="15"/>
      <c r="AG26" s="15"/>
    </row>
    <row r="27" spans="3:33" s="14" customFormat="1" x14ac:dyDescent="0.3">
      <c r="C27" s="19"/>
      <c r="Z27" s="15"/>
      <c r="AC27" s="15"/>
      <c r="AD27" s="15"/>
      <c r="AE27" s="15"/>
      <c r="AF27" s="15"/>
      <c r="AG27" s="15"/>
    </row>
    <row r="28" spans="3:33" s="14" customFormat="1" x14ac:dyDescent="0.3">
      <c r="C28" s="19"/>
      <c r="AC28" s="15"/>
      <c r="AD28" s="15"/>
      <c r="AE28" s="15"/>
      <c r="AF28" s="15"/>
      <c r="AG28" s="15"/>
    </row>
    <row r="29" spans="3:33" s="14" customFormat="1" x14ac:dyDescent="0.3">
      <c r="C29" s="19"/>
      <c r="AC29" s="15"/>
      <c r="AD29" s="15"/>
      <c r="AE29" s="15"/>
      <c r="AF29" s="15"/>
      <c r="AG29" s="15"/>
    </row>
    <row r="30" spans="3:33" s="14" customFormat="1" x14ac:dyDescent="0.3">
      <c r="C30" s="19"/>
      <c r="AC30" s="15"/>
      <c r="AD30" s="15"/>
      <c r="AE30" s="15"/>
      <c r="AF30" s="15"/>
      <c r="AG30" s="15"/>
    </row>
    <row r="31" spans="3:33" s="14" customFormat="1" x14ac:dyDescent="0.3">
      <c r="C31" s="19"/>
    </row>
    <row r="32" spans="3:33" s="14" customFormat="1" x14ac:dyDescent="0.3">
      <c r="C32" s="19"/>
    </row>
    <row r="33" spans="3:3" s="14" customFormat="1" x14ac:dyDescent="0.3">
      <c r="C33" s="19"/>
    </row>
    <row r="34" spans="3:3" s="14" customFormat="1" x14ac:dyDescent="0.3">
      <c r="C34" s="19"/>
    </row>
    <row r="35" spans="3:3" s="14" customFormat="1" x14ac:dyDescent="0.3">
      <c r="C35" s="19"/>
    </row>
    <row r="36" spans="3:3" s="14" customFormat="1" x14ac:dyDescent="0.3">
      <c r="C36" s="19"/>
    </row>
    <row r="37" spans="3:3" s="14" customFormat="1" x14ac:dyDescent="0.3">
      <c r="C37" s="19"/>
    </row>
    <row r="38" spans="3:3" s="14" customFormat="1" x14ac:dyDescent="0.3">
      <c r="C38" s="19"/>
    </row>
    <row r="39" spans="3:3" s="14" customFormat="1" x14ac:dyDescent="0.3">
      <c r="C39" s="19"/>
    </row>
    <row r="40" spans="3:3" s="14" customFormat="1" x14ac:dyDescent="0.3">
      <c r="C40" s="19"/>
    </row>
    <row r="41" spans="3:3" s="14" customFormat="1" x14ac:dyDescent="0.3">
      <c r="C41" s="19"/>
    </row>
    <row r="42" spans="3:3" s="14" customFormat="1" x14ac:dyDescent="0.3">
      <c r="C42" s="19"/>
    </row>
    <row r="43" spans="3:3" s="14" customFormat="1" x14ac:dyDescent="0.3">
      <c r="C43" s="19"/>
    </row>
    <row r="44" spans="3:3" s="14" customFormat="1" x14ac:dyDescent="0.3">
      <c r="C44" s="19"/>
    </row>
    <row r="45" spans="3:3" s="14" customFormat="1" x14ac:dyDescent="0.3">
      <c r="C45" s="19"/>
    </row>
    <row r="46" spans="3:3" s="14" customFormat="1" x14ac:dyDescent="0.3">
      <c r="C46" s="19"/>
    </row>
    <row r="47" spans="3:3" s="14" customFormat="1" x14ac:dyDescent="0.3">
      <c r="C47" s="19"/>
    </row>
    <row r="48" spans="3:3" s="14" customFormat="1" x14ac:dyDescent="0.3">
      <c r="C48" s="19"/>
    </row>
    <row r="49" spans="3:3" s="14" customFormat="1" x14ac:dyDescent="0.3">
      <c r="C49" s="19"/>
    </row>
    <row r="50" spans="3:3" s="14" customFormat="1" x14ac:dyDescent="0.3">
      <c r="C50" s="19"/>
    </row>
    <row r="51" spans="3:3" s="14" customFormat="1" x14ac:dyDescent="0.3">
      <c r="C51" s="19"/>
    </row>
    <row r="52" spans="3:3" s="14" customFormat="1" x14ac:dyDescent="0.3">
      <c r="C52" s="19"/>
    </row>
    <row r="53" spans="3:3" s="14" customFormat="1" x14ac:dyDescent="0.3">
      <c r="C53" s="19"/>
    </row>
    <row r="54" spans="3:3" s="14" customFormat="1" x14ac:dyDescent="0.3">
      <c r="C54" s="19"/>
    </row>
    <row r="55" spans="3:3" s="14" customFormat="1" x14ac:dyDescent="0.3">
      <c r="C55" s="19"/>
    </row>
    <row r="56" spans="3:3" s="14" customFormat="1" x14ac:dyDescent="0.3">
      <c r="C56" s="19"/>
    </row>
    <row r="57" spans="3:3" s="14" customFormat="1" x14ac:dyDescent="0.3">
      <c r="C57" s="19"/>
    </row>
    <row r="58" spans="3:3" s="14" customFormat="1" x14ac:dyDescent="0.3">
      <c r="C58" s="19"/>
    </row>
    <row r="59" spans="3:3" s="14" customFormat="1" x14ac:dyDescent="0.3">
      <c r="C59" s="19"/>
    </row>
    <row r="60" spans="3:3" s="14" customFormat="1" x14ac:dyDescent="0.3">
      <c r="C60" s="19"/>
    </row>
    <row r="61" spans="3:3" s="14" customFormat="1" x14ac:dyDescent="0.3">
      <c r="C61" s="19"/>
    </row>
    <row r="62" spans="3:3" s="14" customFormat="1" x14ac:dyDescent="0.3">
      <c r="C62" s="19"/>
    </row>
    <row r="63" spans="3:3" s="14" customFormat="1" x14ac:dyDescent="0.3">
      <c r="C63" s="19"/>
    </row>
    <row r="64" spans="3:3" s="14" customFormat="1" x14ac:dyDescent="0.3">
      <c r="C64" s="19"/>
    </row>
    <row r="65" spans="3:23" s="14" customFormat="1" x14ac:dyDescent="0.3">
      <c r="C65" s="19"/>
    </row>
    <row r="66" spans="3:23" s="14" customFormat="1" x14ac:dyDescent="0.3">
      <c r="C66" s="19"/>
    </row>
    <row r="67" spans="3:23" s="14" customFormat="1" x14ac:dyDescent="0.3">
      <c r="C67" s="19"/>
    </row>
    <row r="68" spans="3:23" s="14" customFormat="1" x14ac:dyDescent="0.3">
      <c r="C68" s="19"/>
    </row>
    <row r="69" spans="3:23" s="14" customFormat="1" x14ac:dyDescent="0.3">
      <c r="C69" s="19"/>
    </row>
    <row r="70" spans="3:23" s="14" customFormat="1" x14ac:dyDescent="0.3">
      <c r="C70" s="19"/>
    </row>
    <row r="71" spans="3:23" x14ac:dyDescent="0.3">
      <c r="U71" s="14"/>
      <c r="V71" s="14"/>
      <c r="W71" s="14"/>
    </row>
    <row r="72" spans="3:23" x14ac:dyDescent="0.3">
      <c r="U72" s="14"/>
      <c r="V72" s="14"/>
      <c r="W72" s="14"/>
    </row>
    <row r="73" spans="3:23" x14ac:dyDescent="0.3">
      <c r="U73" s="14"/>
      <c r="V73" s="14"/>
      <c r="W73" s="14"/>
    </row>
    <row r="74" spans="3:23" x14ac:dyDescent="0.3">
      <c r="U74" s="14"/>
      <c r="V74" s="14"/>
      <c r="W74" s="14"/>
    </row>
    <row r="75" spans="3:23" x14ac:dyDescent="0.3">
      <c r="U75" s="14"/>
      <c r="V75" s="14"/>
      <c r="W75" s="14"/>
    </row>
    <row r="76" spans="3:23" x14ac:dyDescent="0.3">
      <c r="U76" s="14"/>
      <c r="V76" s="14"/>
      <c r="W76" s="14"/>
    </row>
    <row r="77" spans="3:23" x14ac:dyDescent="0.3">
      <c r="U77" s="14"/>
      <c r="V77" s="14"/>
      <c r="W77" s="14"/>
    </row>
    <row r="78" spans="3:23" x14ac:dyDescent="0.3">
      <c r="U78" s="14"/>
      <c r="V78" s="14"/>
      <c r="W78" s="14"/>
    </row>
    <row r="79" spans="3:23" x14ac:dyDescent="0.3">
      <c r="U79" s="14"/>
      <c r="V79" s="14"/>
      <c r="W79" s="14"/>
    </row>
    <row r="80" spans="3:23" x14ac:dyDescent="0.3">
      <c r="U80" s="14"/>
      <c r="V80" s="14"/>
      <c r="W80" s="14"/>
    </row>
    <row r="81" spans="21:23" x14ac:dyDescent="0.3">
      <c r="U81" s="14"/>
      <c r="V81" s="14"/>
      <c r="W81" s="14"/>
    </row>
    <row r="82" spans="21:23" x14ac:dyDescent="0.3">
      <c r="U82" s="14"/>
      <c r="V82" s="14"/>
      <c r="W82" s="14"/>
    </row>
    <row r="83" spans="21:23" x14ac:dyDescent="0.3">
      <c r="U83" s="14"/>
      <c r="V83" s="14"/>
      <c r="W83" s="14"/>
    </row>
    <row r="84" spans="21:23" x14ac:dyDescent="0.3">
      <c r="U84" s="14"/>
      <c r="V84" s="14"/>
      <c r="W84" s="14"/>
    </row>
    <row r="85" spans="21:23" x14ac:dyDescent="0.3">
      <c r="U85" s="14"/>
      <c r="V85" s="14"/>
      <c r="W85" s="14"/>
    </row>
    <row r="86" spans="21:23" x14ac:dyDescent="0.3">
      <c r="U86" s="14"/>
      <c r="V86" s="14"/>
      <c r="W86" s="14"/>
    </row>
  </sheetData>
  <sortState xmlns:xlrd2="http://schemas.microsoft.com/office/spreadsheetml/2017/richdata2" ref="A4:C26">
    <sortCondition ref="B4:B26"/>
  </sortState>
  <pageMargins left="0.7" right="0.7" top="0.75" bottom="0.75" header="0.3" footer="0.3"/>
  <pageSetup orientation="portrait" r:id="rId1"/>
  <drawing r:id="rId2"/>
  <legacyDrawing r:id="rId3"/>
  <controls>
    <mc:AlternateContent xmlns:mc="http://schemas.openxmlformats.org/markup-compatibility/2006">
      <mc:Choice Requires="x14">
        <control shapeId="5126" r:id="rId4" name="chkAcetyl">
          <controlPr defaultSize="0" autoLine="0" r:id="rId5">
            <anchor moveWithCells="1">
              <from>
                <xdr:col>4</xdr:col>
                <xdr:colOff>22860</xdr:colOff>
                <xdr:row>3</xdr:row>
                <xdr:rowOff>76200</xdr:rowOff>
              </from>
              <to>
                <xdr:col>6</xdr:col>
                <xdr:colOff>563880</xdr:colOff>
                <xdr:row>4</xdr:row>
                <xdr:rowOff>76200</xdr:rowOff>
              </to>
            </anchor>
          </controlPr>
        </control>
      </mc:Choice>
      <mc:Fallback>
        <control shapeId="5126" r:id="rId4" name="chkAcetyl"/>
      </mc:Fallback>
    </mc:AlternateContent>
    <mc:AlternateContent xmlns:mc="http://schemas.openxmlformats.org/markup-compatibility/2006">
      <mc:Choice Requires="x14">
        <control shapeId="5125" r:id="rId6" name="chkAcid">
          <controlPr defaultSize="0" autoLine="0" r:id="rId7">
            <anchor moveWithCells="1">
              <from>
                <xdr:col>4</xdr:col>
                <xdr:colOff>22860</xdr:colOff>
                <xdr:row>2</xdr:row>
                <xdr:rowOff>22860</xdr:rowOff>
              </from>
              <to>
                <xdr:col>6</xdr:col>
                <xdr:colOff>297180</xdr:colOff>
                <xdr:row>3</xdr:row>
                <xdr:rowOff>30480</xdr:rowOff>
              </to>
            </anchor>
          </controlPr>
        </control>
      </mc:Choice>
      <mc:Fallback>
        <control shapeId="5125" r:id="rId6" name="chkAcid"/>
      </mc:Fallback>
    </mc:AlternateContent>
    <mc:AlternateContent xmlns:mc="http://schemas.openxmlformats.org/markup-compatibility/2006">
      <mc:Choice Requires="x14">
        <control shapeId="5121" r:id="rId8" name="cmdPredictHPLCCommandButton1">
          <controlPr defaultSize="0" autoLine="0" autoPict="0" r:id="rId9">
            <anchor moveWithCells="1">
              <from>
                <xdr:col>4</xdr:col>
                <xdr:colOff>0</xdr:colOff>
                <xdr:row>0</xdr:row>
                <xdr:rowOff>0</xdr:rowOff>
              </from>
              <to>
                <xdr:col>6</xdr:col>
                <xdr:colOff>38100</xdr:colOff>
                <xdr:row>1</xdr:row>
                <xdr:rowOff>38100</xdr:rowOff>
              </to>
            </anchor>
          </controlPr>
        </control>
      </mc:Choice>
      <mc:Fallback>
        <control shapeId="5121" r:id="rId8" name="cmdPredictHPLC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4A0FC-0B22-437C-B342-0B36E4FC5FD2}">
  <sheetPr codeName="Sheet7"/>
  <dimension ref="A1:N22"/>
  <sheetViews>
    <sheetView workbookViewId="0"/>
  </sheetViews>
  <sheetFormatPr defaultColWidth="9.109375" defaultRowHeight="14.4" x14ac:dyDescent="0.3"/>
  <cols>
    <col min="1" max="1" width="36.109375" style="1" customWidth="1"/>
    <col min="2" max="2" width="9.109375" style="1"/>
    <col min="3" max="3" width="15.6640625" style="1" customWidth="1"/>
    <col min="4" max="11" width="9.109375" style="1"/>
    <col min="12" max="12" width="15" style="1" customWidth="1"/>
    <col min="13" max="16384" width="9.109375" style="1"/>
  </cols>
  <sheetData>
    <row r="1" spans="1:14" ht="18" x14ac:dyDescent="0.35">
      <c r="A1" s="16" t="s">
        <v>0</v>
      </c>
      <c r="J1" s="1" t="s">
        <v>116</v>
      </c>
      <c r="K1" s="1" t="s">
        <v>120</v>
      </c>
      <c r="L1" s="1" t="s">
        <v>117</v>
      </c>
      <c r="M1" s="1" t="s">
        <v>118</v>
      </c>
      <c r="N1" s="1" t="s">
        <v>119</v>
      </c>
    </row>
    <row r="2" spans="1:14" x14ac:dyDescent="0.3">
      <c r="A2" s="1" t="s">
        <v>115</v>
      </c>
      <c r="B2" s="1">
        <v>678.67</v>
      </c>
      <c r="J2" s="1" t="s">
        <v>39</v>
      </c>
      <c r="K2" s="1" t="s">
        <v>8</v>
      </c>
      <c r="L2" s="1" t="s">
        <v>93</v>
      </c>
      <c r="M2" s="1">
        <v>311.3</v>
      </c>
      <c r="N2" s="1">
        <v>71.08</v>
      </c>
    </row>
    <row r="3" spans="1:14" x14ac:dyDescent="0.3">
      <c r="A3" s="1" t="s">
        <v>121</v>
      </c>
      <c r="B3" s="1">
        <v>699.78</v>
      </c>
      <c r="D3" s="14"/>
      <c r="E3" s="14"/>
      <c r="F3" s="14"/>
      <c r="G3" s="14"/>
      <c r="J3" s="1" t="s">
        <v>41</v>
      </c>
      <c r="K3" s="1" t="s">
        <v>40</v>
      </c>
      <c r="L3" s="1" t="s">
        <v>94</v>
      </c>
      <c r="M3" s="1">
        <v>585.70000000000005</v>
      </c>
      <c r="N3" s="1">
        <v>103.15</v>
      </c>
    </row>
    <row r="4" spans="1:14" x14ac:dyDescent="0.3">
      <c r="A4" s="1" t="s">
        <v>136</v>
      </c>
      <c r="B4" s="1">
        <v>438.44</v>
      </c>
      <c r="D4" s="14"/>
      <c r="E4" s="14"/>
      <c r="F4" s="14"/>
      <c r="G4" s="14"/>
      <c r="J4" s="1" t="s">
        <v>42</v>
      </c>
      <c r="K4" s="1" t="s">
        <v>10</v>
      </c>
      <c r="L4" s="1" t="s">
        <v>95</v>
      </c>
      <c r="M4" s="1">
        <v>411.4</v>
      </c>
      <c r="N4" s="1">
        <v>115.09</v>
      </c>
    </row>
    <row r="5" spans="1:14" x14ac:dyDescent="0.3">
      <c r="D5" s="14"/>
      <c r="E5" s="14"/>
      <c r="F5" s="14"/>
      <c r="G5" s="14"/>
      <c r="J5" s="1" t="s">
        <v>43</v>
      </c>
      <c r="K5" s="1" t="s">
        <v>24</v>
      </c>
      <c r="L5" s="1" t="s">
        <v>96</v>
      </c>
      <c r="M5" s="1">
        <v>425.5</v>
      </c>
      <c r="N5" s="1">
        <v>129.12</v>
      </c>
    </row>
    <row r="6" spans="1:14" x14ac:dyDescent="0.3">
      <c r="D6" s="14"/>
      <c r="E6" s="14"/>
      <c r="F6" s="14"/>
      <c r="G6" s="14"/>
      <c r="J6" s="1" t="s">
        <v>44</v>
      </c>
      <c r="K6" s="1" t="s">
        <v>26</v>
      </c>
      <c r="L6" s="1" t="s">
        <v>97</v>
      </c>
      <c r="M6" s="1">
        <v>387.4</v>
      </c>
      <c r="N6" s="1">
        <v>147.18</v>
      </c>
    </row>
    <row r="7" spans="1:14" x14ac:dyDescent="0.3">
      <c r="D7" s="14"/>
      <c r="E7" s="14"/>
      <c r="F7" s="14"/>
      <c r="G7" s="14"/>
      <c r="J7" s="1" t="s">
        <v>46</v>
      </c>
      <c r="K7" s="1" t="s">
        <v>45</v>
      </c>
      <c r="L7" s="1" t="s">
        <v>98</v>
      </c>
      <c r="M7" s="1">
        <v>297.3</v>
      </c>
      <c r="N7" s="1">
        <v>57.05</v>
      </c>
    </row>
    <row r="8" spans="1:14" x14ac:dyDescent="0.3">
      <c r="J8" s="1" t="s">
        <v>47</v>
      </c>
      <c r="K8" s="1" t="s">
        <v>30</v>
      </c>
      <c r="L8" s="1" t="s">
        <v>99</v>
      </c>
      <c r="M8" s="1">
        <v>619.70000000000005</v>
      </c>
      <c r="N8" s="1">
        <v>137.13999999999999</v>
      </c>
    </row>
    <row r="9" spans="1:14" x14ac:dyDescent="0.3">
      <c r="J9" s="1" t="s">
        <v>49</v>
      </c>
      <c r="K9" s="1" t="s">
        <v>9</v>
      </c>
      <c r="L9" s="1" t="s">
        <v>100</v>
      </c>
      <c r="M9" s="1">
        <v>353.4</v>
      </c>
      <c r="N9" s="1">
        <v>113.16</v>
      </c>
    </row>
    <row r="10" spans="1:14" x14ac:dyDescent="0.3">
      <c r="J10" s="1" t="s">
        <v>50</v>
      </c>
      <c r="K10" s="1" t="s">
        <v>28</v>
      </c>
      <c r="L10" s="1" t="s">
        <v>101</v>
      </c>
      <c r="M10" s="1">
        <v>468.5</v>
      </c>
      <c r="N10" s="1">
        <v>128.18</v>
      </c>
    </row>
    <row r="11" spans="1:14" x14ac:dyDescent="0.3">
      <c r="J11" s="1" t="s">
        <v>54</v>
      </c>
      <c r="K11" s="1" t="s">
        <v>29</v>
      </c>
      <c r="L11" s="1" t="s">
        <v>102</v>
      </c>
      <c r="M11" s="1">
        <v>353.4</v>
      </c>
      <c r="N11" s="1">
        <v>113.16</v>
      </c>
    </row>
    <row r="12" spans="1:14" x14ac:dyDescent="0.3">
      <c r="J12" s="1" t="s">
        <v>55</v>
      </c>
      <c r="K12" s="1" t="s">
        <v>31</v>
      </c>
      <c r="L12" s="1" t="s">
        <v>103</v>
      </c>
      <c r="M12" s="1">
        <v>371.4</v>
      </c>
      <c r="N12" s="1">
        <v>131.19999999999999</v>
      </c>
    </row>
    <row r="13" spans="1:14" x14ac:dyDescent="0.3">
      <c r="J13" s="1" t="s">
        <v>56</v>
      </c>
      <c r="K13" s="1" t="s">
        <v>12</v>
      </c>
      <c r="L13" s="1" t="s">
        <v>104</v>
      </c>
      <c r="M13" s="1">
        <v>596.70000000000005</v>
      </c>
      <c r="N13" s="1">
        <v>114.11</v>
      </c>
    </row>
    <row r="14" spans="1:14" x14ac:dyDescent="0.3">
      <c r="J14" s="1" t="s">
        <v>59</v>
      </c>
      <c r="K14" s="1" t="s">
        <v>58</v>
      </c>
      <c r="L14" s="1" t="s">
        <v>105</v>
      </c>
      <c r="M14" s="1">
        <v>337.4</v>
      </c>
      <c r="N14" s="1">
        <v>97.12</v>
      </c>
    </row>
    <row r="15" spans="1:14" x14ac:dyDescent="0.3">
      <c r="J15" s="1" t="s">
        <v>61</v>
      </c>
      <c r="K15" s="1" t="s">
        <v>60</v>
      </c>
      <c r="L15" s="1" t="s">
        <v>106</v>
      </c>
      <c r="M15" s="1">
        <v>610.70000000000005</v>
      </c>
      <c r="N15" s="1">
        <v>128.13</v>
      </c>
    </row>
    <row r="16" spans="1:14" x14ac:dyDescent="0.3">
      <c r="J16" s="1" t="s">
        <v>62</v>
      </c>
      <c r="K16" s="1" t="s">
        <v>25</v>
      </c>
      <c r="L16" s="1" t="s">
        <v>107</v>
      </c>
      <c r="M16" s="1">
        <v>648.70000000000005</v>
      </c>
      <c r="N16" s="1">
        <v>156.19</v>
      </c>
    </row>
    <row r="17" spans="10:14" x14ac:dyDescent="0.3">
      <c r="J17" s="1" t="s">
        <v>64</v>
      </c>
      <c r="K17" s="1" t="s">
        <v>23</v>
      </c>
      <c r="L17" s="1" t="s">
        <v>108</v>
      </c>
      <c r="M17" s="1">
        <v>383.4</v>
      </c>
      <c r="N17" s="1">
        <v>87.08</v>
      </c>
    </row>
    <row r="18" spans="10:14" x14ac:dyDescent="0.3">
      <c r="J18" s="1" t="s">
        <v>66</v>
      </c>
      <c r="K18" s="1" t="s">
        <v>27</v>
      </c>
      <c r="L18" s="1" t="s">
        <v>109</v>
      </c>
      <c r="M18" s="1">
        <v>397.5</v>
      </c>
      <c r="N18" s="1">
        <v>101.11</v>
      </c>
    </row>
    <row r="19" spans="10:14" x14ac:dyDescent="0.3">
      <c r="J19" s="1" t="s">
        <v>68</v>
      </c>
      <c r="K19" s="1" t="s">
        <v>67</v>
      </c>
      <c r="L19" s="1" t="s">
        <v>110</v>
      </c>
      <c r="M19" s="1">
        <v>339.4</v>
      </c>
      <c r="N19" s="1">
        <v>99.13</v>
      </c>
    </row>
    <row r="20" spans="10:14" x14ac:dyDescent="0.3">
      <c r="J20" s="1" t="s">
        <v>70</v>
      </c>
      <c r="K20" s="1" t="s">
        <v>69</v>
      </c>
      <c r="L20" s="1" t="s">
        <v>111</v>
      </c>
      <c r="M20" s="1">
        <v>526.6</v>
      </c>
      <c r="N20" s="1">
        <v>186.22</v>
      </c>
    </row>
    <row r="21" spans="10:14" x14ac:dyDescent="0.3">
      <c r="J21" s="1" t="s">
        <v>71</v>
      </c>
      <c r="K21" s="1" t="s">
        <v>11</v>
      </c>
      <c r="L21" s="1" t="s">
        <v>112</v>
      </c>
      <c r="M21" s="1">
        <v>459.5</v>
      </c>
      <c r="N21" s="1">
        <v>163.18</v>
      </c>
    </row>
    <row r="22" spans="10:14" x14ac:dyDescent="0.3">
      <c r="J22" s="1" t="s">
        <v>113</v>
      </c>
      <c r="K22" s="1">
        <v>1</v>
      </c>
      <c r="L22" s="1" t="s">
        <v>114</v>
      </c>
      <c r="M22" s="1">
        <v>353.4</v>
      </c>
      <c r="N22" s="1">
        <v>113.16</v>
      </c>
    </row>
  </sheetData>
  <pageMargins left="0.7" right="0.7" top="0.75" bottom="0.75" header="0.3" footer="0.3"/>
  <pageSetup paperSize="9" orientation="portrait" verticalDpi="0" r:id="rId1"/>
  <drawing r:id="rId2"/>
  <legacyDrawing r:id="rId3"/>
  <controls>
    <mc:AlternateContent xmlns:mc="http://schemas.openxmlformats.org/markup-compatibility/2006">
      <mc:Choice Requires="x14">
        <control shapeId="9222" r:id="rId4" name="chkAcetyl">
          <controlPr defaultSize="0" autoLine="0" r:id="rId5">
            <anchor moveWithCells="1">
              <from>
                <xdr:col>3</xdr:col>
                <xdr:colOff>76200</xdr:colOff>
                <xdr:row>4</xdr:row>
                <xdr:rowOff>7620</xdr:rowOff>
              </from>
              <to>
                <xdr:col>5</xdr:col>
                <xdr:colOff>617220</xdr:colOff>
                <xdr:row>5</xdr:row>
                <xdr:rowOff>30480</xdr:rowOff>
              </to>
            </anchor>
          </controlPr>
        </control>
      </mc:Choice>
      <mc:Fallback>
        <control shapeId="9222" r:id="rId4" name="chkAcetyl"/>
      </mc:Fallback>
    </mc:AlternateContent>
    <mc:AlternateContent xmlns:mc="http://schemas.openxmlformats.org/markup-compatibility/2006">
      <mc:Choice Requires="x14">
        <control shapeId="9220" r:id="rId6" name="chkAcid">
          <controlPr defaultSize="0" autoLine="0" r:id="rId7">
            <anchor moveWithCells="1">
              <from>
                <xdr:col>3</xdr:col>
                <xdr:colOff>83820</xdr:colOff>
                <xdr:row>3</xdr:row>
                <xdr:rowOff>0</xdr:rowOff>
              </from>
              <to>
                <xdr:col>5</xdr:col>
                <xdr:colOff>365760</xdr:colOff>
                <xdr:row>4</xdr:row>
                <xdr:rowOff>30480</xdr:rowOff>
              </to>
            </anchor>
          </controlPr>
        </control>
      </mc:Choice>
      <mc:Fallback>
        <control shapeId="9220" r:id="rId6" name="chkAcid"/>
      </mc:Fallback>
    </mc:AlternateContent>
    <mc:AlternateContent xmlns:mc="http://schemas.openxmlformats.org/markup-compatibility/2006">
      <mc:Choice Requires="x14">
        <control shapeId="9223" r:id="rId8" name="cmdCalculateMW">
          <controlPr defaultSize="0" autoLine="0" r:id="rId9">
            <anchor moveWithCells="1">
              <from>
                <xdr:col>3</xdr:col>
                <xdr:colOff>22860</xdr:colOff>
                <xdr:row>0</xdr:row>
                <xdr:rowOff>22860</xdr:rowOff>
              </from>
              <to>
                <xdr:col>5</xdr:col>
                <xdr:colOff>198120</xdr:colOff>
                <xdr:row>1</xdr:row>
                <xdr:rowOff>175260</xdr:rowOff>
              </to>
            </anchor>
          </controlPr>
        </control>
      </mc:Choice>
      <mc:Fallback>
        <control shapeId="9223" r:id="rId8" name="cmdCalculateMW"/>
      </mc:Fallback>
    </mc:AlternateContent>
    <mc:AlternateContent xmlns:mc="http://schemas.openxmlformats.org/markup-compatibility/2006">
      <mc:Choice Requires="x14">
        <control shapeId="9225" r:id="rId10" name="TextBox1">
          <controlPr defaultSize="0" autoLine="0" autoPict="0" r:id="rId11">
            <anchor moveWithCells="1">
              <from>
                <xdr:col>3</xdr:col>
                <xdr:colOff>7620</xdr:colOff>
                <xdr:row>6</xdr:row>
                <xdr:rowOff>22860</xdr:rowOff>
              </from>
              <to>
                <xdr:col>7</xdr:col>
                <xdr:colOff>594360</xdr:colOff>
                <xdr:row>16</xdr:row>
                <xdr:rowOff>38100</xdr:rowOff>
              </to>
            </anchor>
          </controlPr>
        </control>
      </mc:Choice>
      <mc:Fallback>
        <control shapeId="9225" r:id="rId10" name="Text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233"/>
  <sheetViews>
    <sheetView tabSelected="1" topLeftCell="A197" workbookViewId="0">
      <selection activeCell="A7" sqref="A7"/>
    </sheetView>
  </sheetViews>
  <sheetFormatPr defaultColWidth="9.109375" defaultRowHeight="14.4" x14ac:dyDescent="0.3"/>
  <cols>
    <col min="1" max="1" width="38.44140625" style="21" customWidth="1"/>
    <col min="2" max="40" width="7.6640625" style="21" customWidth="1"/>
    <col min="41" max="16384" width="9.109375" style="21"/>
  </cols>
  <sheetData>
    <row r="1" spans="1:16" ht="30.75" customHeight="1" x14ac:dyDescent="0.5">
      <c r="A1" s="20" t="s">
        <v>0</v>
      </c>
    </row>
    <row r="2" spans="1:16" x14ac:dyDescent="0.3">
      <c r="A2" s="21" t="s">
        <v>203</v>
      </c>
      <c r="B2" s="21" t="s">
        <v>193</v>
      </c>
      <c r="C2" s="21" t="s">
        <v>194</v>
      </c>
      <c r="D2" s="21" t="s">
        <v>195</v>
      </c>
      <c r="E2" s="21" t="s">
        <v>196</v>
      </c>
      <c r="F2" s="21" t="s">
        <v>197</v>
      </c>
      <c r="G2" s="21" t="s">
        <v>198</v>
      </c>
      <c r="H2" s="9" t="s">
        <v>199</v>
      </c>
      <c r="I2" s="9" t="s">
        <v>200</v>
      </c>
      <c r="J2" s="21" t="s">
        <v>201</v>
      </c>
      <c r="K2" s="21" t="s">
        <v>202</v>
      </c>
      <c r="L2" s="21" t="s">
        <v>19</v>
      </c>
      <c r="M2" s="21" t="s">
        <v>123</v>
      </c>
      <c r="N2" s="21" t="s">
        <v>20</v>
      </c>
      <c r="O2" s="21" t="s">
        <v>13</v>
      </c>
    </row>
    <row r="3" spans="1:16" x14ac:dyDescent="0.3">
      <c r="A3" s="21" t="s">
        <v>214</v>
      </c>
      <c r="B3" s="21" t="s">
        <v>204</v>
      </c>
      <c r="C3" s="21" t="s">
        <v>205</v>
      </c>
      <c r="D3" s="21" t="s">
        <v>206</v>
      </c>
      <c r="E3" s="21" t="s">
        <v>207</v>
      </c>
      <c r="F3" s="9" t="s">
        <v>208</v>
      </c>
      <c r="G3" s="9" t="s">
        <v>209</v>
      </c>
      <c r="H3" s="21" t="s">
        <v>210</v>
      </c>
      <c r="I3" s="21" t="s">
        <v>211</v>
      </c>
      <c r="J3" s="21" t="s">
        <v>212</v>
      </c>
      <c r="K3" s="21" t="s">
        <v>14</v>
      </c>
      <c r="L3" s="21" t="s">
        <v>20</v>
      </c>
      <c r="M3" s="21" t="s">
        <v>213</v>
      </c>
      <c r="N3" s="21" t="s">
        <v>13</v>
      </c>
    </row>
    <row r="4" spans="1:16" x14ac:dyDescent="0.3">
      <c r="A4" s="21" t="s">
        <v>225</v>
      </c>
      <c r="B4" s="21" t="s">
        <v>215</v>
      </c>
      <c r="C4" s="21" t="s">
        <v>216</v>
      </c>
      <c r="D4" s="21" t="s">
        <v>217</v>
      </c>
      <c r="E4" s="21" t="s">
        <v>218</v>
      </c>
      <c r="F4" s="9" t="s">
        <v>219</v>
      </c>
      <c r="G4" s="9" t="s">
        <v>220</v>
      </c>
      <c r="H4" s="21" t="s">
        <v>221</v>
      </c>
      <c r="I4" s="21" t="s">
        <v>222</v>
      </c>
      <c r="J4" s="21" t="s">
        <v>223</v>
      </c>
      <c r="K4" s="21" t="s">
        <v>224</v>
      </c>
      <c r="L4" s="21" t="s">
        <v>15</v>
      </c>
      <c r="M4" s="21" t="s">
        <v>15</v>
      </c>
      <c r="N4" s="21" t="s">
        <v>213</v>
      </c>
      <c r="O4" s="21" t="s">
        <v>13</v>
      </c>
    </row>
    <row r="5" spans="1:16" x14ac:dyDescent="0.3">
      <c r="A5" s="22" t="s">
        <v>232</v>
      </c>
      <c r="B5" s="9" t="s">
        <v>186</v>
      </c>
      <c r="C5" s="21" t="s">
        <v>226</v>
      </c>
      <c r="D5" s="21" t="s">
        <v>227</v>
      </c>
      <c r="E5" s="9" t="s">
        <v>228</v>
      </c>
      <c r="F5" s="9" t="s">
        <v>229</v>
      </c>
      <c r="G5" s="21" t="s">
        <v>230</v>
      </c>
      <c r="H5" s="21" t="s">
        <v>230</v>
      </c>
      <c r="I5" s="21" t="s">
        <v>231</v>
      </c>
      <c r="J5" s="21" t="s">
        <v>231</v>
      </c>
    </row>
    <row r="6" spans="1:16" x14ac:dyDescent="0.3">
      <c r="A6" s="21" t="s">
        <v>244</v>
      </c>
      <c r="B6" s="21" t="s">
        <v>233</v>
      </c>
      <c r="C6" s="21" t="s">
        <v>234</v>
      </c>
      <c r="D6" s="21" t="s">
        <v>235</v>
      </c>
      <c r="E6" s="21" t="s">
        <v>236</v>
      </c>
      <c r="F6" s="9" t="s">
        <v>237</v>
      </c>
      <c r="G6" s="9" t="s">
        <v>238</v>
      </c>
      <c r="H6" s="9" t="s">
        <v>239</v>
      </c>
      <c r="I6" s="21" t="s">
        <v>240</v>
      </c>
      <c r="J6" s="21" t="s">
        <v>241</v>
      </c>
      <c r="K6" s="21" t="s">
        <v>242</v>
      </c>
      <c r="L6" s="21" t="s">
        <v>243</v>
      </c>
      <c r="M6" s="21" t="s">
        <v>124</v>
      </c>
      <c r="N6" s="21" t="s">
        <v>230</v>
      </c>
      <c r="O6" s="21" t="s">
        <v>19</v>
      </c>
      <c r="P6" s="21" t="s">
        <v>213</v>
      </c>
    </row>
    <row r="7" spans="1:16" x14ac:dyDescent="0.3">
      <c r="A7" s="22" t="s">
        <v>254</v>
      </c>
      <c r="B7" s="9" t="s">
        <v>245</v>
      </c>
      <c r="C7" s="9" t="s">
        <v>246</v>
      </c>
      <c r="D7" s="9" t="s">
        <v>247</v>
      </c>
      <c r="E7" s="21" t="s">
        <v>248</v>
      </c>
      <c r="F7" s="21" t="s">
        <v>249</v>
      </c>
      <c r="G7" s="21" t="s">
        <v>250</v>
      </c>
      <c r="H7" s="21" t="s">
        <v>251</v>
      </c>
      <c r="I7" s="21" t="s">
        <v>252</v>
      </c>
      <c r="J7" s="21" t="s">
        <v>233</v>
      </c>
      <c r="K7" s="21" t="s">
        <v>242</v>
      </c>
      <c r="L7" s="9" t="s">
        <v>253</v>
      </c>
      <c r="M7" s="21" t="s">
        <v>230</v>
      </c>
      <c r="N7" s="21" t="s">
        <v>213</v>
      </c>
      <c r="O7" s="21" t="s">
        <v>19</v>
      </c>
      <c r="P7" s="21" t="s">
        <v>231</v>
      </c>
    </row>
    <row r="8" spans="1:16" x14ac:dyDescent="0.3">
      <c r="A8" s="21" t="s">
        <v>267</v>
      </c>
      <c r="B8" s="21" t="s">
        <v>255</v>
      </c>
      <c r="C8" s="9" t="s">
        <v>256</v>
      </c>
      <c r="D8" s="9" t="s">
        <v>257</v>
      </c>
      <c r="E8" s="9" t="s">
        <v>258</v>
      </c>
      <c r="F8" s="21" t="s">
        <v>259</v>
      </c>
      <c r="G8" s="21" t="s">
        <v>260</v>
      </c>
      <c r="H8" s="21" t="s">
        <v>261</v>
      </c>
      <c r="I8" s="21" t="s">
        <v>262</v>
      </c>
      <c r="J8" s="21" t="s">
        <v>263</v>
      </c>
      <c r="K8" s="21" t="s">
        <v>264</v>
      </c>
      <c r="L8" s="21" t="s">
        <v>265</v>
      </c>
      <c r="M8" s="21" t="s">
        <v>231</v>
      </c>
      <c r="N8" s="21" t="s">
        <v>266</v>
      </c>
      <c r="O8" s="21" t="s">
        <v>15</v>
      </c>
      <c r="P8" s="21" t="s">
        <v>20</v>
      </c>
    </row>
    <row r="9" spans="1:16" x14ac:dyDescent="0.3">
      <c r="A9" s="21" t="s">
        <v>279</v>
      </c>
      <c r="B9" s="21" t="s">
        <v>268</v>
      </c>
      <c r="C9" s="21" t="s">
        <v>269</v>
      </c>
      <c r="D9" s="21" t="s">
        <v>270</v>
      </c>
      <c r="E9" s="9" t="s">
        <v>271</v>
      </c>
      <c r="F9" s="21" t="s">
        <v>272</v>
      </c>
      <c r="G9" s="21" t="s">
        <v>273</v>
      </c>
      <c r="H9" s="21" t="s">
        <v>274</v>
      </c>
      <c r="I9" s="21" t="s">
        <v>275</v>
      </c>
      <c r="J9" s="21" t="s">
        <v>171</v>
      </c>
      <c r="K9" s="21" t="s">
        <v>276</v>
      </c>
      <c r="L9" s="21" t="s">
        <v>277</v>
      </c>
      <c r="M9" s="21" t="s">
        <v>124</v>
      </c>
      <c r="N9" s="21" t="s">
        <v>230</v>
      </c>
      <c r="O9" s="21" t="s">
        <v>278</v>
      </c>
      <c r="P9" s="21" t="s">
        <v>19</v>
      </c>
    </row>
    <row r="10" spans="1:16" x14ac:dyDescent="0.3">
      <c r="A10" s="21" t="s">
        <v>139</v>
      </c>
      <c r="B10" s="21" t="s">
        <v>280</v>
      </c>
      <c r="C10" s="21" t="s">
        <v>281</v>
      </c>
      <c r="D10" s="21" t="s">
        <v>282</v>
      </c>
      <c r="E10" s="21" t="s">
        <v>283</v>
      </c>
      <c r="F10" s="21" t="s">
        <v>284</v>
      </c>
      <c r="G10" s="21" t="s">
        <v>265</v>
      </c>
      <c r="H10" s="21" t="s">
        <v>285</v>
      </c>
      <c r="I10" s="21" t="s">
        <v>286</v>
      </c>
      <c r="J10" s="21" t="s">
        <v>223</v>
      </c>
      <c r="K10" s="21" t="s">
        <v>287</v>
      </c>
      <c r="L10" s="21" t="s">
        <v>288</v>
      </c>
      <c r="M10" s="21" t="s">
        <v>15</v>
      </c>
      <c r="N10" s="21" t="s">
        <v>213</v>
      </c>
      <c r="O10" s="21" t="s">
        <v>124</v>
      </c>
      <c r="P10" s="21" t="s">
        <v>231</v>
      </c>
    </row>
    <row r="11" spans="1:16" x14ac:dyDescent="0.3">
      <c r="A11" s="22" t="s">
        <v>298</v>
      </c>
      <c r="B11" s="9" t="s">
        <v>289</v>
      </c>
      <c r="C11" s="9" t="s">
        <v>290</v>
      </c>
      <c r="D11" s="9" t="s">
        <v>291</v>
      </c>
      <c r="E11" s="9" t="s">
        <v>292</v>
      </c>
      <c r="F11" s="9" t="s">
        <v>239</v>
      </c>
      <c r="G11" s="21" t="s">
        <v>293</v>
      </c>
      <c r="H11" s="21" t="s">
        <v>294</v>
      </c>
      <c r="I11" s="21" t="s">
        <v>295</v>
      </c>
      <c r="J11" s="21" t="s">
        <v>296</v>
      </c>
      <c r="K11" s="21" t="s">
        <v>297</v>
      </c>
      <c r="L11" s="21" t="s">
        <v>270</v>
      </c>
      <c r="M11" s="21" t="s">
        <v>19</v>
      </c>
      <c r="N11" s="21" t="s">
        <v>230</v>
      </c>
      <c r="O11" s="21" t="s">
        <v>20</v>
      </c>
      <c r="P11" s="21" t="s">
        <v>124</v>
      </c>
    </row>
    <row r="12" spans="1:16" x14ac:dyDescent="0.3">
      <c r="A12" s="21" t="s">
        <v>307</v>
      </c>
      <c r="B12" s="21" t="s">
        <v>299</v>
      </c>
      <c r="C12" s="21" t="s">
        <v>300</v>
      </c>
      <c r="D12" s="21" t="s">
        <v>301</v>
      </c>
      <c r="E12" s="21" t="s">
        <v>302</v>
      </c>
      <c r="F12" s="21" t="s">
        <v>303</v>
      </c>
      <c r="G12" s="9" t="s">
        <v>304</v>
      </c>
      <c r="H12" s="9" t="s">
        <v>305</v>
      </c>
      <c r="I12" s="9" t="s">
        <v>306</v>
      </c>
      <c r="J12" s="9" t="s">
        <v>305</v>
      </c>
      <c r="K12" s="21" t="s">
        <v>231</v>
      </c>
      <c r="L12" s="21" t="s">
        <v>213</v>
      </c>
      <c r="M12" s="21" t="s">
        <v>213</v>
      </c>
      <c r="N12" s="21" t="s">
        <v>13</v>
      </c>
    </row>
    <row r="13" spans="1:16" x14ac:dyDescent="0.3">
      <c r="A13" s="21" t="s">
        <v>315</v>
      </c>
      <c r="B13" s="21" t="s">
        <v>308</v>
      </c>
      <c r="C13" s="21" t="s">
        <v>309</v>
      </c>
      <c r="D13" s="21" t="s">
        <v>310</v>
      </c>
      <c r="E13" s="21" t="s">
        <v>311</v>
      </c>
      <c r="F13" s="21" t="s">
        <v>297</v>
      </c>
      <c r="G13" s="21" t="s">
        <v>312</v>
      </c>
      <c r="H13" s="9" t="s">
        <v>313</v>
      </c>
      <c r="I13" s="21" t="s">
        <v>314</v>
      </c>
      <c r="J13" s="21" t="s">
        <v>16</v>
      </c>
      <c r="K13" s="21" t="s">
        <v>16</v>
      </c>
      <c r="L13" s="21" t="s">
        <v>18</v>
      </c>
    </row>
    <row r="14" spans="1:16" x14ac:dyDescent="0.3">
      <c r="A14" s="22" t="s">
        <v>319</v>
      </c>
      <c r="B14" s="9" t="s">
        <v>228</v>
      </c>
      <c r="C14" s="9" t="s">
        <v>237</v>
      </c>
      <c r="D14" s="9" t="s">
        <v>316</v>
      </c>
      <c r="E14" s="21" t="s">
        <v>198</v>
      </c>
      <c r="F14" s="21" t="s">
        <v>221</v>
      </c>
      <c r="G14" s="21" t="s">
        <v>317</v>
      </c>
      <c r="H14" s="21" t="s">
        <v>231</v>
      </c>
      <c r="I14" s="21" t="s">
        <v>318</v>
      </c>
      <c r="J14" s="21" t="s">
        <v>122</v>
      </c>
      <c r="K14" s="21" t="s">
        <v>231</v>
      </c>
    </row>
    <row r="15" spans="1:16" x14ac:dyDescent="0.3">
      <c r="A15" s="21" t="s">
        <v>329</v>
      </c>
      <c r="B15" s="21" t="s">
        <v>320</v>
      </c>
      <c r="C15" s="21" t="s">
        <v>321</v>
      </c>
      <c r="D15" s="21" t="s">
        <v>322</v>
      </c>
      <c r="E15" s="21" t="s">
        <v>323</v>
      </c>
      <c r="F15" s="9" t="s">
        <v>324</v>
      </c>
      <c r="G15" s="21" t="s">
        <v>303</v>
      </c>
      <c r="H15" s="9" t="s">
        <v>186</v>
      </c>
      <c r="I15" s="21" t="s">
        <v>325</v>
      </c>
      <c r="J15" s="21" t="s">
        <v>326</v>
      </c>
      <c r="K15" s="21" t="s">
        <v>327</v>
      </c>
      <c r="L15" s="21" t="s">
        <v>328</v>
      </c>
      <c r="M15" s="21" t="s">
        <v>318</v>
      </c>
      <c r="N15" s="21" t="s">
        <v>13</v>
      </c>
      <c r="O15" s="21" t="s">
        <v>16</v>
      </c>
      <c r="P15" s="21" t="s">
        <v>314</v>
      </c>
    </row>
    <row r="16" spans="1:16" x14ac:dyDescent="0.3">
      <c r="A16" s="23" t="s">
        <v>341</v>
      </c>
      <c r="B16" s="8" t="s">
        <v>330</v>
      </c>
      <c r="C16" s="21" t="s">
        <v>331</v>
      </c>
      <c r="D16" s="8" t="s">
        <v>332</v>
      </c>
      <c r="E16" s="21" t="s">
        <v>333</v>
      </c>
      <c r="F16" s="21" t="s">
        <v>334</v>
      </c>
      <c r="G16" s="21" t="s">
        <v>335</v>
      </c>
      <c r="H16" s="21" t="s">
        <v>336</v>
      </c>
      <c r="I16" s="21" t="s">
        <v>337</v>
      </c>
      <c r="J16" s="9" t="s">
        <v>338</v>
      </c>
      <c r="K16" s="21" t="s">
        <v>339</v>
      </c>
      <c r="L16" s="9" t="s">
        <v>340</v>
      </c>
      <c r="M16" s="21" t="s">
        <v>15</v>
      </c>
      <c r="N16" s="21" t="s">
        <v>19</v>
      </c>
      <c r="O16" s="21" t="s">
        <v>19</v>
      </c>
      <c r="P16" s="21" t="s">
        <v>20</v>
      </c>
    </row>
    <row r="17" spans="1:16" x14ac:dyDescent="0.3">
      <c r="A17" s="21" t="s">
        <v>353</v>
      </c>
      <c r="B17" s="21" t="s">
        <v>342</v>
      </c>
      <c r="C17" s="21" t="s">
        <v>343</v>
      </c>
      <c r="D17" s="21" t="s">
        <v>344</v>
      </c>
      <c r="E17" s="21" t="s">
        <v>345</v>
      </c>
      <c r="F17" s="21" t="s">
        <v>346</v>
      </c>
      <c r="G17" s="21" t="s">
        <v>347</v>
      </c>
      <c r="H17" s="21" t="s">
        <v>348</v>
      </c>
      <c r="I17" s="9" t="s">
        <v>349</v>
      </c>
      <c r="J17" s="9" t="s">
        <v>350</v>
      </c>
      <c r="K17" s="9" t="s">
        <v>351</v>
      </c>
      <c r="L17" s="9" t="s">
        <v>352</v>
      </c>
      <c r="M17" s="21" t="s">
        <v>266</v>
      </c>
      <c r="N17" s="21" t="s">
        <v>231</v>
      </c>
      <c r="O17" s="21" t="s">
        <v>15</v>
      </c>
      <c r="P17" s="21" t="s">
        <v>213</v>
      </c>
    </row>
    <row r="18" spans="1:16" x14ac:dyDescent="0.3">
      <c r="A18" s="21" t="s">
        <v>361</v>
      </c>
      <c r="B18" s="21" t="s">
        <v>297</v>
      </c>
      <c r="C18" s="9" t="s">
        <v>354</v>
      </c>
      <c r="D18" s="9" t="s">
        <v>355</v>
      </c>
      <c r="E18" s="9" t="s">
        <v>356</v>
      </c>
      <c r="F18" s="9" t="s">
        <v>237</v>
      </c>
      <c r="G18" s="9" t="s">
        <v>340</v>
      </c>
      <c r="H18" s="21" t="s">
        <v>357</v>
      </c>
      <c r="I18" s="21" t="s">
        <v>202</v>
      </c>
      <c r="J18" s="9" t="s">
        <v>358</v>
      </c>
      <c r="K18" s="21" t="s">
        <v>359</v>
      </c>
      <c r="L18" s="21" t="s">
        <v>360</v>
      </c>
      <c r="M18" s="21" t="s">
        <v>213</v>
      </c>
      <c r="N18" s="21" t="s">
        <v>124</v>
      </c>
      <c r="O18" s="21" t="s">
        <v>20</v>
      </c>
      <c r="P18" s="21" t="s">
        <v>14</v>
      </c>
    </row>
    <row r="19" spans="1:16" x14ac:dyDescent="0.3">
      <c r="A19" s="21" t="s">
        <v>370</v>
      </c>
      <c r="B19" s="21" t="s">
        <v>362</v>
      </c>
      <c r="C19" s="21" t="s">
        <v>363</v>
      </c>
      <c r="D19" s="9" t="s">
        <v>364</v>
      </c>
      <c r="E19" s="9" t="s">
        <v>365</v>
      </c>
      <c r="F19" s="9" t="s">
        <v>366</v>
      </c>
      <c r="G19" s="9" t="s">
        <v>367</v>
      </c>
      <c r="H19" s="21" t="s">
        <v>337</v>
      </c>
      <c r="I19" s="21" t="s">
        <v>368</v>
      </c>
      <c r="J19" s="21" t="s">
        <v>369</v>
      </c>
      <c r="K19" s="21" t="s">
        <v>336</v>
      </c>
      <c r="L19" s="21" t="s">
        <v>243</v>
      </c>
      <c r="M19" s="21" t="s">
        <v>123</v>
      </c>
      <c r="N19" s="21" t="s">
        <v>15</v>
      </c>
      <c r="O19" s="21" t="s">
        <v>231</v>
      </c>
      <c r="P19" s="21" t="s">
        <v>20</v>
      </c>
    </row>
    <row r="20" spans="1:16" x14ac:dyDescent="0.3">
      <c r="A20" s="21" t="s">
        <v>383</v>
      </c>
      <c r="B20" s="21" t="s">
        <v>371</v>
      </c>
      <c r="C20" s="9" t="s">
        <v>372</v>
      </c>
      <c r="D20" s="21" t="s">
        <v>373</v>
      </c>
      <c r="E20" s="21" t="s">
        <v>374</v>
      </c>
      <c r="F20" s="21" t="s">
        <v>375</v>
      </c>
      <c r="G20" s="21" t="s">
        <v>376</v>
      </c>
      <c r="H20" s="21" t="s">
        <v>377</v>
      </c>
      <c r="I20" s="21" t="s">
        <v>378</v>
      </c>
      <c r="J20" s="21" t="s">
        <v>379</v>
      </c>
      <c r="K20" s="21" t="s">
        <v>380</v>
      </c>
      <c r="L20" s="21" t="s">
        <v>381</v>
      </c>
      <c r="M20" s="21" t="s">
        <v>18</v>
      </c>
      <c r="N20" s="21" t="s">
        <v>382</v>
      </c>
      <c r="O20" s="21" t="s">
        <v>123</v>
      </c>
      <c r="P20" s="21" t="s">
        <v>266</v>
      </c>
    </row>
    <row r="21" spans="1:16" x14ac:dyDescent="0.3">
      <c r="A21" s="21" t="s">
        <v>140</v>
      </c>
      <c r="B21" s="21" t="s">
        <v>384</v>
      </c>
      <c r="C21" s="21" t="s">
        <v>385</v>
      </c>
      <c r="D21" s="21" t="s">
        <v>386</v>
      </c>
      <c r="E21" s="21" t="s">
        <v>387</v>
      </c>
      <c r="F21" s="21" t="s">
        <v>308</v>
      </c>
      <c r="G21" s="21" t="s">
        <v>388</v>
      </c>
      <c r="H21" s="21" t="s">
        <v>389</v>
      </c>
      <c r="I21" s="21" t="s">
        <v>390</v>
      </c>
      <c r="J21" s="21" t="s">
        <v>391</v>
      </c>
      <c r="K21" s="21" t="s">
        <v>392</v>
      </c>
      <c r="L21" s="21" t="s">
        <v>393</v>
      </c>
      <c r="M21" s="21" t="s">
        <v>318</v>
      </c>
      <c r="N21" s="21" t="s">
        <v>124</v>
      </c>
      <c r="O21" s="21" t="s">
        <v>18</v>
      </c>
      <c r="P21" s="21" t="s">
        <v>16</v>
      </c>
    </row>
    <row r="22" spans="1:16" x14ac:dyDescent="0.3">
      <c r="A22" s="21" t="s">
        <v>141</v>
      </c>
      <c r="B22" s="21" t="s">
        <v>236</v>
      </c>
      <c r="C22" s="21" t="s">
        <v>394</v>
      </c>
      <c r="D22" s="21" t="s">
        <v>395</v>
      </c>
      <c r="E22" s="21" t="s">
        <v>301</v>
      </c>
      <c r="F22" s="21" t="s">
        <v>396</v>
      </c>
      <c r="G22" s="21" t="s">
        <v>397</v>
      </c>
      <c r="H22" s="21" t="s">
        <v>398</v>
      </c>
      <c r="I22" s="21" t="s">
        <v>399</v>
      </c>
      <c r="J22" s="21" t="s">
        <v>400</v>
      </c>
      <c r="K22" s="21" t="s">
        <v>401</v>
      </c>
      <c r="L22" s="21" t="s">
        <v>402</v>
      </c>
      <c r="M22" s="21" t="s">
        <v>266</v>
      </c>
      <c r="N22" s="21" t="s">
        <v>21</v>
      </c>
      <c r="O22" s="21" t="s">
        <v>18</v>
      </c>
      <c r="P22" s="21" t="s">
        <v>124</v>
      </c>
    </row>
    <row r="23" spans="1:16" x14ac:dyDescent="0.3">
      <c r="A23" s="22" t="s">
        <v>412</v>
      </c>
      <c r="B23" s="9" t="s">
        <v>403</v>
      </c>
      <c r="C23" s="9" t="s">
        <v>219</v>
      </c>
      <c r="D23" s="21" t="s">
        <v>404</v>
      </c>
      <c r="E23" s="21" t="s">
        <v>405</v>
      </c>
      <c r="F23" s="9" t="s">
        <v>406</v>
      </c>
      <c r="G23" s="21" t="s">
        <v>259</v>
      </c>
      <c r="H23" s="21" t="s">
        <v>407</v>
      </c>
      <c r="I23" s="21" t="s">
        <v>408</v>
      </c>
      <c r="J23" s="8" t="s">
        <v>409</v>
      </c>
      <c r="K23" s="8" t="s">
        <v>410</v>
      </c>
      <c r="L23" s="8" t="s">
        <v>411</v>
      </c>
      <c r="M23" s="21" t="s">
        <v>382</v>
      </c>
      <c r="N23" s="21" t="s">
        <v>21</v>
      </c>
      <c r="O23" s="21" t="s">
        <v>318</v>
      </c>
      <c r="P23" s="21" t="s">
        <v>278</v>
      </c>
    </row>
    <row r="24" spans="1:16" x14ac:dyDescent="0.3">
      <c r="A24" s="22" t="s">
        <v>416</v>
      </c>
      <c r="B24" s="9" t="s">
        <v>413</v>
      </c>
      <c r="C24" s="9" t="s">
        <v>372</v>
      </c>
      <c r="D24" s="9" t="s">
        <v>414</v>
      </c>
      <c r="E24" s="21" t="s">
        <v>241</v>
      </c>
      <c r="F24" s="21" t="s">
        <v>415</v>
      </c>
      <c r="G24" s="9" t="s">
        <v>237</v>
      </c>
      <c r="H24" s="9" t="s">
        <v>245</v>
      </c>
      <c r="I24" s="9" t="s">
        <v>238</v>
      </c>
      <c r="J24" s="21" t="s">
        <v>16</v>
      </c>
      <c r="K24" s="21" t="s">
        <v>124</v>
      </c>
      <c r="L24" s="21" t="s">
        <v>231</v>
      </c>
      <c r="M24" s="21" t="s">
        <v>18</v>
      </c>
    </row>
    <row r="25" spans="1:16" x14ac:dyDescent="0.3">
      <c r="A25" s="21" t="s">
        <v>424</v>
      </c>
      <c r="B25" s="21" t="s">
        <v>417</v>
      </c>
      <c r="C25" s="21" t="s">
        <v>418</v>
      </c>
      <c r="D25" s="21" t="s">
        <v>419</v>
      </c>
      <c r="E25" s="8" t="s">
        <v>420</v>
      </c>
      <c r="F25" s="8" t="s">
        <v>421</v>
      </c>
      <c r="G25" s="21" t="s">
        <v>408</v>
      </c>
      <c r="H25" s="21" t="s">
        <v>422</v>
      </c>
      <c r="I25" s="21" t="s">
        <v>423</v>
      </c>
      <c r="J25" s="21" t="s">
        <v>21</v>
      </c>
      <c r="K25" s="21" t="s">
        <v>13</v>
      </c>
      <c r="L25" s="21" t="s">
        <v>123</v>
      </c>
      <c r="M25" s="21" t="s">
        <v>18</v>
      </c>
    </row>
    <row r="26" spans="1:16" x14ac:dyDescent="0.3">
      <c r="A26" s="21" t="s">
        <v>432</v>
      </c>
      <c r="B26" s="21" t="s">
        <v>425</v>
      </c>
      <c r="C26" s="21" t="s">
        <v>426</v>
      </c>
      <c r="D26" s="9" t="s">
        <v>427</v>
      </c>
      <c r="E26" s="9" t="s">
        <v>428</v>
      </c>
      <c r="F26" s="9" t="s">
        <v>429</v>
      </c>
      <c r="G26" s="9" t="s">
        <v>430</v>
      </c>
      <c r="H26" s="21" t="s">
        <v>317</v>
      </c>
      <c r="I26" s="21" t="s">
        <v>431</v>
      </c>
      <c r="J26" s="21" t="s">
        <v>431</v>
      </c>
      <c r="K26" s="21" t="s">
        <v>18</v>
      </c>
      <c r="L26" s="21" t="s">
        <v>278</v>
      </c>
      <c r="M26" s="21" t="s">
        <v>124</v>
      </c>
      <c r="N26" s="21" t="s">
        <v>18</v>
      </c>
    </row>
    <row r="27" spans="1:16" x14ac:dyDescent="0.3">
      <c r="A27" s="21" t="s">
        <v>441</v>
      </c>
      <c r="B27" s="21" t="s">
        <v>187</v>
      </c>
      <c r="C27" s="21" t="s">
        <v>433</v>
      </c>
      <c r="D27" s="21" t="s">
        <v>434</v>
      </c>
      <c r="E27" s="9" t="s">
        <v>435</v>
      </c>
      <c r="F27" s="9" t="s">
        <v>436</v>
      </c>
      <c r="G27" s="9" t="s">
        <v>437</v>
      </c>
      <c r="H27" s="21" t="s">
        <v>177</v>
      </c>
      <c r="I27" s="21" t="s">
        <v>438</v>
      </c>
      <c r="J27" s="21" t="s">
        <v>439</v>
      </c>
      <c r="K27" s="21" t="s">
        <v>440</v>
      </c>
      <c r="L27" s="21" t="s">
        <v>318</v>
      </c>
      <c r="M27" s="21" t="s">
        <v>213</v>
      </c>
      <c r="N27" s="21" t="s">
        <v>15</v>
      </c>
      <c r="O27" s="21" t="s">
        <v>124</v>
      </c>
    </row>
    <row r="28" spans="1:16" x14ac:dyDescent="0.3">
      <c r="A28" s="21" t="s">
        <v>142</v>
      </c>
      <c r="B28" s="21" t="s">
        <v>442</v>
      </c>
      <c r="C28" s="21" t="s">
        <v>443</v>
      </c>
      <c r="D28" s="21" t="s">
        <v>280</v>
      </c>
      <c r="E28" s="21" t="s">
        <v>444</v>
      </c>
      <c r="F28" s="21" t="s">
        <v>445</v>
      </c>
      <c r="G28" s="21" t="s">
        <v>446</v>
      </c>
      <c r="H28" s="21" t="s">
        <v>447</v>
      </c>
      <c r="I28" s="21" t="s">
        <v>448</v>
      </c>
      <c r="J28" s="21" t="s">
        <v>16</v>
      </c>
      <c r="K28" s="21" t="s">
        <v>18</v>
      </c>
      <c r="L28" s="21" t="s">
        <v>266</v>
      </c>
      <c r="M28" s="21" t="s">
        <v>13</v>
      </c>
    </row>
    <row r="29" spans="1:16" x14ac:dyDescent="0.3">
      <c r="A29" s="23" t="s">
        <v>457</v>
      </c>
      <c r="B29" s="8" t="s">
        <v>449</v>
      </c>
      <c r="C29" s="8" t="s">
        <v>450</v>
      </c>
      <c r="D29" s="21" t="s">
        <v>451</v>
      </c>
      <c r="E29" s="21" t="s">
        <v>188</v>
      </c>
      <c r="F29" s="21" t="s">
        <v>452</v>
      </c>
      <c r="G29" s="9" t="s">
        <v>453</v>
      </c>
      <c r="H29" s="9" t="s">
        <v>454</v>
      </c>
      <c r="I29" s="9" t="s">
        <v>455</v>
      </c>
      <c r="J29" s="9" t="s">
        <v>456</v>
      </c>
      <c r="K29" s="21" t="s">
        <v>19</v>
      </c>
      <c r="L29" s="21" t="s">
        <v>19</v>
      </c>
      <c r="M29" s="21" t="s">
        <v>123</v>
      </c>
      <c r="N29" s="21" t="s">
        <v>18</v>
      </c>
    </row>
    <row r="30" spans="1:16" x14ac:dyDescent="0.3">
      <c r="A30" s="21" t="s">
        <v>464</v>
      </c>
      <c r="B30" s="21" t="s">
        <v>322</v>
      </c>
      <c r="C30" s="21" t="s">
        <v>212</v>
      </c>
      <c r="D30" s="21" t="s">
        <v>458</v>
      </c>
      <c r="E30" s="21" t="s">
        <v>459</v>
      </c>
      <c r="F30" s="21" t="s">
        <v>191</v>
      </c>
      <c r="G30" s="21" t="s">
        <v>276</v>
      </c>
      <c r="H30" s="21" t="s">
        <v>460</v>
      </c>
      <c r="I30" s="9" t="s">
        <v>461</v>
      </c>
      <c r="J30" s="9" t="s">
        <v>462</v>
      </c>
      <c r="K30" s="9" t="s">
        <v>463</v>
      </c>
      <c r="L30" s="21" t="s">
        <v>231</v>
      </c>
      <c r="M30" s="21" t="s">
        <v>231</v>
      </c>
      <c r="N30" s="21" t="s">
        <v>19</v>
      </c>
      <c r="O30" s="21" t="s">
        <v>18</v>
      </c>
    </row>
    <row r="31" spans="1:16" x14ac:dyDescent="0.3">
      <c r="A31" s="21" t="s">
        <v>143</v>
      </c>
      <c r="B31" s="21" t="s">
        <v>465</v>
      </c>
      <c r="C31" s="21" t="s">
        <v>466</v>
      </c>
      <c r="D31" s="21" t="s">
        <v>322</v>
      </c>
      <c r="E31" s="21" t="s">
        <v>467</v>
      </c>
      <c r="F31" s="21" t="s">
        <v>393</v>
      </c>
      <c r="G31" s="21" t="s">
        <v>468</v>
      </c>
      <c r="H31" s="21" t="s">
        <v>469</v>
      </c>
      <c r="I31" s="21" t="s">
        <v>310</v>
      </c>
      <c r="J31" s="21" t="s">
        <v>21</v>
      </c>
      <c r="K31" s="21" t="s">
        <v>314</v>
      </c>
      <c r="L31" s="21" t="s">
        <v>15</v>
      </c>
      <c r="M31" s="21" t="s">
        <v>470</v>
      </c>
    </row>
    <row r="32" spans="1:16" x14ac:dyDescent="0.3">
      <c r="A32" s="21" t="s">
        <v>144</v>
      </c>
      <c r="B32" s="21" t="s">
        <v>471</v>
      </c>
      <c r="C32" s="21" t="s">
        <v>472</v>
      </c>
      <c r="D32" s="21" t="s">
        <v>343</v>
      </c>
      <c r="E32" s="21" t="s">
        <v>473</v>
      </c>
      <c r="F32" s="21" t="s">
        <v>474</v>
      </c>
      <c r="G32" s="21" t="s">
        <v>475</v>
      </c>
      <c r="H32" s="21" t="s">
        <v>476</v>
      </c>
      <c r="I32" s="21" t="s">
        <v>14</v>
      </c>
      <c r="J32" s="21" t="s">
        <v>16</v>
      </c>
      <c r="K32" s="21" t="s">
        <v>16</v>
      </c>
      <c r="L32" s="21" t="s">
        <v>470</v>
      </c>
    </row>
    <row r="33" spans="1:16" x14ac:dyDescent="0.3">
      <c r="A33" s="21" t="s">
        <v>485</v>
      </c>
      <c r="B33" s="21" t="s">
        <v>477</v>
      </c>
      <c r="C33" s="21" t="s">
        <v>212</v>
      </c>
      <c r="D33" s="21" t="s">
        <v>478</v>
      </c>
      <c r="E33" s="21" t="s">
        <v>444</v>
      </c>
      <c r="F33" s="21" t="s">
        <v>479</v>
      </c>
      <c r="G33" s="8" t="s">
        <v>480</v>
      </c>
      <c r="H33" s="21" t="s">
        <v>481</v>
      </c>
      <c r="I33" s="8" t="s">
        <v>482</v>
      </c>
      <c r="J33" s="8" t="s">
        <v>483</v>
      </c>
      <c r="K33" s="21" t="s">
        <v>484</v>
      </c>
      <c r="L33" s="21" t="s">
        <v>18</v>
      </c>
      <c r="M33" s="21" t="s">
        <v>382</v>
      </c>
      <c r="N33" s="21" t="s">
        <v>213</v>
      </c>
      <c r="O33" s="21" t="s">
        <v>470</v>
      </c>
    </row>
    <row r="34" spans="1:16" x14ac:dyDescent="0.3">
      <c r="A34" s="21" t="s">
        <v>492</v>
      </c>
      <c r="B34" s="21" t="s">
        <v>486</v>
      </c>
      <c r="C34" s="8" t="s">
        <v>487</v>
      </c>
      <c r="D34" s="21" t="s">
        <v>488</v>
      </c>
      <c r="E34" s="8" t="s">
        <v>489</v>
      </c>
      <c r="F34" s="8" t="s">
        <v>490</v>
      </c>
      <c r="G34" s="8" t="s">
        <v>491</v>
      </c>
      <c r="H34" s="21" t="s">
        <v>124</v>
      </c>
      <c r="I34" s="21" t="s">
        <v>15</v>
      </c>
      <c r="J34" s="21" t="s">
        <v>13</v>
      </c>
      <c r="K34" s="21" t="s">
        <v>382</v>
      </c>
    </row>
    <row r="35" spans="1:16" x14ac:dyDescent="0.3">
      <c r="A35" s="21" t="s">
        <v>501</v>
      </c>
      <c r="B35" s="21" t="s">
        <v>493</v>
      </c>
      <c r="C35" s="21" t="s">
        <v>494</v>
      </c>
      <c r="D35" s="8" t="s">
        <v>495</v>
      </c>
      <c r="E35" s="21" t="s">
        <v>496</v>
      </c>
      <c r="F35" s="21" t="s">
        <v>497</v>
      </c>
      <c r="G35" s="21" t="s">
        <v>498</v>
      </c>
      <c r="H35" s="21" t="s">
        <v>499</v>
      </c>
      <c r="I35" s="9" t="s">
        <v>500</v>
      </c>
      <c r="J35" s="21" t="s">
        <v>303</v>
      </c>
      <c r="K35" s="21" t="s">
        <v>242</v>
      </c>
      <c r="L35" s="21" t="s">
        <v>16</v>
      </c>
      <c r="M35" s="21" t="s">
        <v>19</v>
      </c>
      <c r="N35" s="21" t="s">
        <v>15</v>
      </c>
      <c r="O35" s="21" t="s">
        <v>13</v>
      </c>
    </row>
    <row r="36" spans="1:16" x14ac:dyDescent="0.3">
      <c r="A36" s="21" t="s">
        <v>145</v>
      </c>
      <c r="B36" s="21" t="s">
        <v>502</v>
      </c>
      <c r="C36" s="21" t="s">
        <v>503</v>
      </c>
      <c r="D36" s="21" t="s">
        <v>504</v>
      </c>
      <c r="E36" s="21" t="s">
        <v>505</v>
      </c>
      <c r="F36" s="21" t="s">
        <v>506</v>
      </c>
      <c r="G36" s="21" t="s">
        <v>507</v>
      </c>
      <c r="H36" s="21" t="s">
        <v>357</v>
      </c>
      <c r="I36" s="21" t="s">
        <v>318</v>
      </c>
      <c r="J36" s="21" t="s">
        <v>123</v>
      </c>
      <c r="K36" s="21" t="s">
        <v>278</v>
      </c>
      <c r="L36" s="21" t="s">
        <v>231</v>
      </c>
    </row>
    <row r="37" spans="1:16" x14ac:dyDescent="0.3">
      <c r="A37" s="21" t="s">
        <v>515</v>
      </c>
      <c r="B37" s="21" t="s">
        <v>508</v>
      </c>
      <c r="C37" s="21" t="s">
        <v>509</v>
      </c>
      <c r="D37" s="21" t="s">
        <v>415</v>
      </c>
      <c r="E37" s="9" t="s">
        <v>427</v>
      </c>
      <c r="F37" s="9" t="s">
        <v>239</v>
      </c>
      <c r="G37" s="21" t="s">
        <v>241</v>
      </c>
      <c r="H37" s="21" t="s">
        <v>510</v>
      </c>
      <c r="I37" s="9" t="s">
        <v>511</v>
      </c>
      <c r="J37" s="21" t="s">
        <v>512</v>
      </c>
      <c r="K37" s="21" t="s">
        <v>513</v>
      </c>
      <c r="L37" s="21" t="s">
        <v>514</v>
      </c>
      <c r="M37" s="21" t="s">
        <v>124</v>
      </c>
      <c r="N37" s="21" t="s">
        <v>15</v>
      </c>
      <c r="O37" s="21" t="s">
        <v>318</v>
      </c>
      <c r="P37" s="21" t="s">
        <v>230</v>
      </c>
    </row>
    <row r="38" spans="1:16" x14ac:dyDescent="0.3">
      <c r="A38" s="21" t="s">
        <v>146</v>
      </c>
      <c r="B38" s="21" t="s">
        <v>516</v>
      </c>
      <c r="C38" s="21" t="s">
        <v>216</v>
      </c>
      <c r="D38" s="21" t="s">
        <v>285</v>
      </c>
      <c r="E38" s="21" t="s">
        <v>517</v>
      </c>
      <c r="F38" s="21" t="s">
        <v>518</v>
      </c>
      <c r="G38" s="21" t="s">
        <v>519</v>
      </c>
      <c r="H38" s="21" t="s">
        <v>468</v>
      </c>
      <c r="I38" s="21" t="s">
        <v>182</v>
      </c>
      <c r="J38" s="21" t="s">
        <v>506</v>
      </c>
      <c r="K38" s="21" t="s">
        <v>520</v>
      </c>
      <c r="L38" s="21" t="s">
        <v>521</v>
      </c>
      <c r="M38" s="21" t="s">
        <v>15</v>
      </c>
      <c r="N38" s="21" t="s">
        <v>124</v>
      </c>
      <c r="O38" s="21" t="s">
        <v>124</v>
      </c>
      <c r="P38" s="21" t="s">
        <v>14</v>
      </c>
    </row>
    <row r="39" spans="1:16" x14ac:dyDescent="0.3">
      <c r="A39" s="21" t="s">
        <v>530</v>
      </c>
      <c r="B39" s="21" t="s">
        <v>522</v>
      </c>
      <c r="C39" s="21" t="s">
        <v>523</v>
      </c>
      <c r="D39" s="21" t="s">
        <v>524</v>
      </c>
      <c r="E39" s="21" t="s">
        <v>369</v>
      </c>
      <c r="F39" s="21" t="s">
        <v>525</v>
      </c>
      <c r="G39" s="21" t="s">
        <v>526</v>
      </c>
      <c r="H39" s="21" t="s">
        <v>527</v>
      </c>
      <c r="I39" s="21" t="s">
        <v>392</v>
      </c>
      <c r="J39" s="8" t="s">
        <v>528</v>
      </c>
      <c r="K39" s="21" t="s">
        <v>529</v>
      </c>
      <c r="L39" s="21" t="s">
        <v>317</v>
      </c>
      <c r="M39" s="21" t="s">
        <v>14</v>
      </c>
      <c r="N39" s="21" t="s">
        <v>15</v>
      </c>
      <c r="O39" s="21" t="s">
        <v>16</v>
      </c>
      <c r="P39" s="21" t="s">
        <v>231</v>
      </c>
    </row>
    <row r="40" spans="1:16" x14ac:dyDescent="0.3">
      <c r="A40" s="21" t="s">
        <v>147</v>
      </c>
      <c r="B40" s="21" t="s">
        <v>531</v>
      </c>
      <c r="C40" s="21" t="s">
        <v>211</v>
      </c>
      <c r="D40" s="21" t="s">
        <v>532</v>
      </c>
      <c r="E40" s="21" t="s">
        <v>283</v>
      </c>
      <c r="F40" s="21" t="s">
        <v>236</v>
      </c>
      <c r="G40" s="21" t="s">
        <v>337</v>
      </c>
      <c r="H40" s="21" t="s">
        <v>533</v>
      </c>
      <c r="I40" s="21" t="s">
        <v>281</v>
      </c>
      <c r="J40" s="21" t="s">
        <v>534</v>
      </c>
      <c r="K40" s="21" t="s">
        <v>535</v>
      </c>
      <c r="L40" s="21" t="s">
        <v>536</v>
      </c>
      <c r="M40" s="21" t="s">
        <v>15</v>
      </c>
      <c r="N40" s="21" t="s">
        <v>20</v>
      </c>
      <c r="O40" s="21" t="s">
        <v>13</v>
      </c>
      <c r="P40" s="21" t="s">
        <v>14</v>
      </c>
    </row>
    <row r="41" spans="1:16" x14ac:dyDescent="0.3">
      <c r="A41" s="21" t="s">
        <v>542</v>
      </c>
      <c r="B41" s="21" t="s">
        <v>537</v>
      </c>
      <c r="C41" s="21" t="s">
        <v>248</v>
      </c>
      <c r="D41" s="21" t="s">
        <v>249</v>
      </c>
      <c r="E41" s="21" t="s">
        <v>538</v>
      </c>
      <c r="F41" s="21" t="s">
        <v>539</v>
      </c>
      <c r="G41" s="21" t="s">
        <v>458</v>
      </c>
      <c r="H41" s="21" t="s">
        <v>540</v>
      </c>
      <c r="I41" s="21" t="s">
        <v>541</v>
      </c>
      <c r="J41" s="9" t="s">
        <v>356</v>
      </c>
      <c r="K41" s="21" t="s">
        <v>396</v>
      </c>
      <c r="L41" s="21" t="s">
        <v>381</v>
      </c>
      <c r="M41" s="21" t="s">
        <v>21</v>
      </c>
      <c r="N41" s="21" t="s">
        <v>231</v>
      </c>
      <c r="O41" s="21" t="s">
        <v>230</v>
      </c>
      <c r="P41" s="21" t="s">
        <v>14</v>
      </c>
    </row>
    <row r="42" spans="1:16" x14ac:dyDescent="0.3">
      <c r="A42" s="21" t="s">
        <v>148</v>
      </c>
      <c r="B42" s="21" t="s">
        <v>262</v>
      </c>
      <c r="C42" s="21" t="s">
        <v>543</v>
      </c>
      <c r="D42" s="21" t="s">
        <v>359</v>
      </c>
      <c r="E42" s="21" t="s">
        <v>211</v>
      </c>
      <c r="F42" s="21" t="s">
        <v>182</v>
      </c>
      <c r="G42" s="21" t="s">
        <v>544</v>
      </c>
      <c r="H42" s="21" t="s">
        <v>545</v>
      </c>
      <c r="I42" s="21" t="s">
        <v>546</v>
      </c>
      <c r="J42" s="21" t="s">
        <v>547</v>
      </c>
      <c r="K42" s="21" t="s">
        <v>548</v>
      </c>
      <c r="L42" s="21" t="s">
        <v>549</v>
      </c>
      <c r="M42" s="21" t="s">
        <v>124</v>
      </c>
      <c r="N42" s="21" t="s">
        <v>16</v>
      </c>
      <c r="O42" s="21" t="s">
        <v>382</v>
      </c>
      <c r="P42" s="21" t="s">
        <v>266</v>
      </c>
    </row>
    <row r="43" spans="1:16" x14ac:dyDescent="0.3">
      <c r="A43" s="21" t="s">
        <v>558</v>
      </c>
      <c r="B43" s="21" t="s">
        <v>550</v>
      </c>
      <c r="C43" s="21" t="s">
        <v>448</v>
      </c>
      <c r="D43" s="21" t="s">
        <v>551</v>
      </c>
      <c r="E43" s="9" t="s">
        <v>552</v>
      </c>
      <c r="F43" s="21" t="s">
        <v>553</v>
      </c>
      <c r="G43" s="21" t="s">
        <v>309</v>
      </c>
      <c r="H43" s="21" t="s">
        <v>554</v>
      </c>
      <c r="I43" s="21" t="s">
        <v>555</v>
      </c>
      <c r="J43" s="8" t="s">
        <v>490</v>
      </c>
      <c r="K43" s="21" t="s">
        <v>556</v>
      </c>
      <c r="L43" s="21" t="s">
        <v>557</v>
      </c>
      <c r="M43" s="21" t="s">
        <v>314</v>
      </c>
      <c r="N43" s="21" t="s">
        <v>14</v>
      </c>
      <c r="O43" s="21" t="s">
        <v>16</v>
      </c>
      <c r="P43" s="21" t="s">
        <v>382</v>
      </c>
    </row>
    <row r="44" spans="1:16" x14ac:dyDescent="0.3">
      <c r="A44" s="21" t="s">
        <v>564</v>
      </c>
      <c r="B44" s="21" t="s">
        <v>268</v>
      </c>
      <c r="C44" s="21" t="s">
        <v>540</v>
      </c>
      <c r="D44" s="21" t="s">
        <v>401</v>
      </c>
      <c r="E44" s="21" t="s">
        <v>559</v>
      </c>
      <c r="F44" s="21" t="s">
        <v>442</v>
      </c>
      <c r="G44" s="21" t="s">
        <v>560</v>
      </c>
      <c r="H44" s="21" t="s">
        <v>561</v>
      </c>
      <c r="I44" s="21" t="s">
        <v>535</v>
      </c>
      <c r="J44" s="21" t="s">
        <v>562</v>
      </c>
      <c r="K44" s="21" t="s">
        <v>302</v>
      </c>
      <c r="L44" s="21" t="s">
        <v>563</v>
      </c>
      <c r="M44" s="21" t="s">
        <v>21</v>
      </c>
      <c r="N44" s="21" t="s">
        <v>15</v>
      </c>
      <c r="O44" s="21" t="s">
        <v>213</v>
      </c>
      <c r="P44" s="21" t="s">
        <v>318</v>
      </c>
    </row>
    <row r="45" spans="1:16" x14ac:dyDescent="0.3">
      <c r="A45" s="23" t="s">
        <v>573</v>
      </c>
      <c r="B45" s="8" t="s">
        <v>565</v>
      </c>
      <c r="C45" s="8" t="s">
        <v>566</v>
      </c>
      <c r="D45" s="21" t="s">
        <v>567</v>
      </c>
      <c r="E45" s="21" t="s">
        <v>568</v>
      </c>
      <c r="F45" s="21" t="s">
        <v>569</v>
      </c>
      <c r="G45" s="21" t="s">
        <v>570</v>
      </c>
      <c r="H45" s="21" t="s">
        <v>467</v>
      </c>
      <c r="I45" s="21" t="s">
        <v>571</v>
      </c>
      <c r="J45" s="21" t="s">
        <v>572</v>
      </c>
      <c r="K45" s="21" t="s">
        <v>498</v>
      </c>
      <c r="L45" s="21" t="s">
        <v>423</v>
      </c>
      <c r="M45" s="21" t="s">
        <v>15</v>
      </c>
      <c r="N45" s="21" t="s">
        <v>213</v>
      </c>
      <c r="O45" s="21" t="s">
        <v>16</v>
      </c>
      <c r="P45" s="21" t="s">
        <v>213</v>
      </c>
    </row>
    <row r="46" spans="1:16" x14ac:dyDescent="0.3">
      <c r="A46" s="21" t="s">
        <v>149</v>
      </c>
      <c r="B46" s="21" t="s">
        <v>321</v>
      </c>
      <c r="C46" s="21" t="s">
        <v>508</v>
      </c>
      <c r="D46" s="21" t="s">
        <v>574</v>
      </c>
      <c r="E46" s="21" t="s">
        <v>466</v>
      </c>
      <c r="F46" s="21" t="s">
        <v>575</v>
      </c>
      <c r="G46" s="21" t="s">
        <v>576</v>
      </c>
      <c r="H46" s="21" t="s">
        <v>577</v>
      </c>
      <c r="I46" s="21" t="s">
        <v>578</v>
      </c>
      <c r="J46" s="21" t="s">
        <v>579</v>
      </c>
      <c r="K46" s="21" t="s">
        <v>580</v>
      </c>
      <c r="L46" s="21" t="s">
        <v>317</v>
      </c>
      <c r="M46" s="21" t="s">
        <v>15</v>
      </c>
      <c r="N46" s="21" t="s">
        <v>278</v>
      </c>
      <c r="O46" s="21" t="s">
        <v>19</v>
      </c>
      <c r="P46" s="21" t="s">
        <v>278</v>
      </c>
    </row>
    <row r="47" spans="1:16" x14ac:dyDescent="0.3">
      <c r="A47" s="21" t="s">
        <v>585</v>
      </c>
      <c r="B47" s="21" t="s">
        <v>581</v>
      </c>
      <c r="C47" s="21" t="s">
        <v>233</v>
      </c>
      <c r="D47" s="21" t="s">
        <v>582</v>
      </c>
      <c r="E47" s="21" t="s">
        <v>226</v>
      </c>
      <c r="F47" s="9" t="s">
        <v>583</v>
      </c>
      <c r="G47" s="21" t="s">
        <v>388</v>
      </c>
      <c r="H47" s="9" t="s">
        <v>356</v>
      </c>
      <c r="I47" s="9" t="s">
        <v>500</v>
      </c>
      <c r="J47" s="21" t="s">
        <v>187</v>
      </c>
      <c r="K47" s="21" t="s">
        <v>378</v>
      </c>
      <c r="L47" s="21" t="s">
        <v>584</v>
      </c>
      <c r="M47" s="21" t="s">
        <v>124</v>
      </c>
      <c r="N47" s="21" t="s">
        <v>278</v>
      </c>
      <c r="O47" s="21" t="s">
        <v>21</v>
      </c>
      <c r="P47" s="21" t="s">
        <v>14</v>
      </c>
    </row>
    <row r="48" spans="1:16" x14ac:dyDescent="0.3">
      <c r="A48" s="21" t="s">
        <v>595</v>
      </c>
      <c r="B48" s="21" t="s">
        <v>586</v>
      </c>
      <c r="C48" s="8" t="s">
        <v>587</v>
      </c>
      <c r="D48" s="21" t="s">
        <v>360</v>
      </c>
      <c r="E48" s="21" t="s">
        <v>588</v>
      </c>
      <c r="F48" s="21" t="s">
        <v>589</v>
      </c>
      <c r="G48" s="21" t="s">
        <v>590</v>
      </c>
      <c r="H48" s="21" t="s">
        <v>591</v>
      </c>
      <c r="I48" s="21" t="s">
        <v>592</v>
      </c>
      <c r="J48" s="21" t="s">
        <v>593</v>
      </c>
      <c r="K48" s="21" t="s">
        <v>594</v>
      </c>
      <c r="L48" s="21" t="s">
        <v>276</v>
      </c>
      <c r="M48" s="21" t="s">
        <v>21</v>
      </c>
      <c r="N48" s="21" t="s">
        <v>21</v>
      </c>
      <c r="O48" s="21" t="s">
        <v>213</v>
      </c>
      <c r="P48" s="21" t="s">
        <v>470</v>
      </c>
    </row>
    <row r="49" spans="1:16" x14ac:dyDescent="0.3">
      <c r="A49" s="22" t="s">
        <v>602</v>
      </c>
      <c r="B49" s="9" t="s">
        <v>596</v>
      </c>
      <c r="C49" s="21" t="s">
        <v>597</v>
      </c>
      <c r="D49" s="21" t="s">
        <v>598</v>
      </c>
      <c r="E49" s="21" t="s">
        <v>599</v>
      </c>
      <c r="F49" s="21" t="s">
        <v>600</v>
      </c>
      <c r="G49" s="21" t="s">
        <v>422</v>
      </c>
      <c r="H49" s="21" t="s">
        <v>601</v>
      </c>
      <c r="I49" s="21" t="s">
        <v>178</v>
      </c>
      <c r="J49" s="21" t="s">
        <v>362</v>
      </c>
      <c r="K49" s="21" t="s">
        <v>381</v>
      </c>
      <c r="L49" s="21" t="s">
        <v>275</v>
      </c>
      <c r="M49" s="21" t="s">
        <v>20</v>
      </c>
      <c r="N49" s="21" t="s">
        <v>382</v>
      </c>
      <c r="O49" s="21" t="s">
        <v>470</v>
      </c>
      <c r="P49" s="21" t="s">
        <v>21</v>
      </c>
    </row>
    <row r="50" spans="1:16" x14ac:dyDescent="0.3">
      <c r="A50" s="22" t="s">
        <v>610</v>
      </c>
      <c r="B50" s="9" t="s">
        <v>511</v>
      </c>
      <c r="C50" s="21" t="s">
        <v>603</v>
      </c>
      <c r="D50" s="21" t="s">
        <v>582</v>
      </c>
      <c r="E50" s="21" t="s">
        <v>604</v>
      </c>
      <c r="F50" s="21" t="s">
        <v>605</v>
      </c>
      <c r="G50" s="21" t="s">
        <v>606</v>
      </c>
      <c r="H50" s="21" t="s">
        <v>607</v>
      </c>
      <c r="I50" s="21" t="s">
        <v>418</v>
      </c>
      <c r="J50" s="21" t="s">
        <v>608</v>
      </c>
      <c r="K50" s="21" t="s">
        <v>476</v>
      </c>
      <c r="L50" s="21" t="s">
        <v>609</v>
      </c>
      <c r="M50" s="21" t="s">
        <v>15</v>
      </c>
      <c r="N50" s="21" t="s">
        <v>16</v>
      </c>
      <c r="O50" s="21" t="s">
        <v>19</v>
      </c>
      <c r="P50" s="21" t="s">
        <v>16</v>
      </c>
    </row>
    <row r="51" spans="1:16" x14ac:dyDescent="0.3">
      <c r="A51" s="22" t="s">
        <v>618</v>
      </c>
      <c r="B51" s="9" t="s">
        <v>611</v>
      </c>
      <c r="C51" s="9" t="s">
        <v>500</v>
      </c>
      <c r="D51" s="9" t="s">
        <v>612</v>
      </c>
      <c r="E51" s="9" t="s">
        <v>613</v>
      </c>
      <c r="F51" s="9" t="s">
        <v>258</v>
      </c>
      <c r="G51" s="21" t="s">
        <v>503</v>
      </c>
      <c r="H51" s="21" t="s">
        <v>614</v>
      </c>
      <c r="I51" s="21" t="s">
        <v>615</v>
      </c>
      <c r="J51" s="21" t="s">
        <v>616</v>
      </c>
      <c r="K51" s="21" t="s">
        <v>588</v>
      </c>
      <c r="L51" s="21" t="s">
        <v>617</v>
      </c>
      <c r="M51" s="21" t="s">
        <v>278</v>
      </c>
      <c r="N51" s="21" t="s">
        <v>15</v>
      </c>
      <c r="O51" s="21" t="s">
        <v>124</v>
      </c>
      <c r="P51" s="21" t="s">
        <v>124</v>
      </c>
    </row>
    <row r="52" spans="1:16" x14ac:dyDescent="0.3">
      <c r="A52" s="23" t="s">
        <v>626</v>
      </c>
      <c r="B52" s="8" t="s">
        <v>619</v>
      </c>
      <c r="C52" s="21" t="s">
        <v>567</v>
      </c>
      <c r="D52" s="21" t="s">
        <v>620</v>
      </c>
      <c r="E52" s="21" t="s">
        <v>621</v>
      </c>
      <c r="F52" s="21" t="s">
        <v>622</v>
      </c>
      <c r="G52" s="21" t="s">
        <v>623</v>
      </c>
      <c r="H52" s="21" t="s">
        <v>624</v>
      </c>
      <c r="I52" s="21" t="s">
        <v>621</v>
      </c>
      <c r="J52" s="8" t="s">
        <v>625</v>
      </c>
      <c r="K52" s="21" t="s">
        <v>572</v>
      </c>
      <c r="L52" s="21" t="s">
        <v>443</v>
      </c>
      <c r="M52" s="21" t="s">
        <v>230</v>
      </c>
      <c r="N52" s="21" t="s">
        <v>318</v>
      </c>
      <c r="O52" s="21" t="s">
        <v>16</v>
      </c>
      <c r="P52" s="21" t="s">
        <v>266</v>
      </c>
    </row>
    <row r="53" spans="1:16" x14ac:dyDescent="0.3">
      <c r="A53" s="23" t="s">
        <v>635</v>
      </c>
      <c r="B53" s="8" t="s">
        <v>627</v>
      </c>
      <c r="C53" s="8" t="s">
        <v>628</v>
      </c>
      <c r="D53" s="21" t="s">
        <v>387</v>
      </c>
      <c r="E53" s="21" t="s">
        <v>629</v>
      </c>
      <c r="F53" s="9" t="s">
        <v>630</v>
      </c>
      <c r="G53" s="9" t="s">
        <v>631</v>
      </c>
      <c r="H53" s="21" t="s">
        <v>632</v>
      </c>
      <c r="I53" s="21" t="s">
        <v>241</v>
      </c>
      <c r="J53" s="21" t="s">
        <v>633</v>
      </c>
      <c r="K53" s="21" t="s">
        <v>415</v>
      </c>
      <c r="L53" s="21" t="s">
        <v>634</v>
      </c>
      <c r="M53" s="21" t="s">
        <v>231</v>
      </c>
      <c r="N53" s="21" t="s">
        <v>231</v>
      </c>
      <c r="O53" s="21" t="s">
        <v>213</v>
      </c>
      <c r="P53" s="21" t="s">
        <v>14</v>
      </c>
    </row>
    <row r="54" spans="1:16" x14ac:dyDescent="0.3">
      <c r="A54" s="22" t="s">
        <v>644</v>
      </c>
      <c r="B54" s="9" t="s">
        <v>636</v>
      </c>
      <c r="C54" s="21" t="s">
        <v>637</v>
      </c>
      <c r="D54" s="9" t="s">
        <v>638</v>
      </c>
      <c r="E54" s="9" t="s">
        <v>291</v>
      </c>
      <c r="F54" s="9" t="s">
        <v>639</v>
      </c>
      <c r="G54" s="21" t="s">
        <v>640</v>
      </c>
      <c r="H54" s="9" t="s">
        <v>406</v>
      </c>
      <c r="I54" s="21" t="s">
        <v>641</v>
      </c>
      <c r="J54" s="8" t="s">
        <v>642</v>
      </c>
      <c r="K54" s="8" t="s">
        <v>643</v>
      </c>
      <c r="L54" s="21" t="s">
        <v>593</v>
      </c>
      <c r="M54" s="21" t="s">
        <v>318</v>
      </c>
      <c r="N54" s="21" t="s">
        <v>14</v>
      </c>
      <c r="O54" s="21" t="s">
        <v>124</v>
      </c>
      <c r="P54" s="21" t="s">
        <v>16</v>
      </c>
    </row>
    <row r="55" spans="1:16" x14ac:dyDescent="0.3">
      <c r="A55" s="22" t="s">
        <v>653</v>
      </c>
      <c r="B55" s="9" t="s">
        <v>645</v>
      </c>
      <c r="C55" s="9" t="s">
        <v>646</v>
      </c>
      <c r="D55" s="9" t="s">
        <v>647</v>
      </c>
      <c r="E55" s="9" t="s">
        <v>340</v>
      </c>
      <c r="F55" s="9" t="s">
        <v>324</v>
      </c>
      <c r="G55" s="9" t="s">
        <v>648</v>
      </c>
      <c r="H55" s="9" t="s">
        <v>649</v>
      </c>
      <c r="I55" s="9" t="s">
        <v>650</v>
      </c>
      <c r="J55" s="9" t="s">
        <v>651</v>
      </c>
      <c r="K55" s="9" t="s">
        <v>652</v>
      </c>
      <c r="L55" s="21" t="s">
        <v>442</v>
      </c>
      <c r="M55" s="21" t="s">
        <v>278</v>
      </c>
      <c r="N55" s="21" t="s">
        <v>213</v>
      </c>
      <c r="O55" s="21" t="s">
        <v>14</v>
      </c>
      <c r="P55" s="21" t="s">
        <v>15</v>
      </c>
    </row>
    <row r="56" spans="1:16" x14ac:dyDescent="0.3">
      <c r="A56" s="23" t="s">
        <v>662</v>
      </c>
      <c r="B56" s="8" t="s">
        <v>619</v>
      </c>
      <c r="C56" s="8" t="s">
        <v>654</v>
      </c>
      <c r="D56" s="21" t="s">
        <v>655</v>
      </c>
      <c r="E56" s="21" t="s">
        <v>656</v>
      </c>
      <c r="F56" s="21" t="s">
        <v>657</v>
      </c>
      <c r="G56" s="21" t="s">
        <v>658</v>
      </c>
      <c r="H56" s="21" t="s">
        <v>659</v>
      </c>
      <c r="I56" s="21" t="s">
        <v>423</v>
      </c>
      <c r="J56" s="21" t="s">
        <v>323</v>
      </c>
      <c r="K56" s="9" t="s">
        <v>660</v>
      </c>
      <c r="L56" s="9" t="s">
        <v>661</v>
      </c>
      <c r="M56" s="21" t="s">
        <v>16</v>
      </c>
      <c r="N56" s="21" t="s">
        <v>16</v>
      </c>
      <c r="O56" s="21" t="s">
        <v>124</v>
      </c>
      <c r="P56" s="21" t="s">
        <v>231</v>
      </c>
    </row>
    <row r="57" spans="1:16" x14ac:dyDescent="0.3">
      <c r="A57" s="21" t="s">
        <v>671</v>
      </c>
      <c r="B57" s="21" t="s">
        <v>663</v>
      </c>
      <c r="C57" s="8" t="s">
        <v>664</v>
      </c>
      <c r="D57" s="8" t="s">
        <v>665</v>
      </c>
      <c r="E57" s="8" t="s">
        <v>666</v>
      </c>
      <c r="F57" s="21" t="s">
        <v>667</v>
      </c>
      <c r="G57" s="21" t="s">
        <v>668</v>
      </c>
      <c r="H57" s="21" t="s">
        <v>317</v>
      </c>
      <c r="I57" s="21" t="s">
        <v>669</v>
      </c>
      <c r="J57" s="21" t="s">
        <v>317</v>
      </c>
      <c r="K57" s="21" t="s">
        <v>326</v>
      </c>
      <c r="L57" s="21" t="s">
        <v>670</v>
      </c>
      <c r="M57" s="21" t="s">
        <v>318</v>
      </c>
      <c r="N57" s="21" t="s">
        <v>124</v>
      </c>
      <c r="O57" s="21" t="s">
        <v>382</v>
      </c>
      <c r="P57" s="21" t="s">
        <v>16</v>
      </c>
    </row>
    <row r="58" spans="1:16" x14ac:dyDescent="0.3">
      <c r="A58" s="21" t="s">
        <v>676</v>
      </c>
      <c r="B58" s="21" t="s">
        <v>672</v>
      </c>
      <c r="C58" s="21" t="s">
        <v>242</v>
      </c>
      <c r="D58" s="21" t="s">
        <v>460</v>
      </c>
      <c r="E58" s="21" t="s">
        <v>509</v>
      </c>
      <c r="F58" s="9" t="s">
        <v>673</v>
      </c>
      <c r="G58" s="9" t="s">
        <v>350</v>
      </c>
      <c r="H58" s="9" t="s">
        <v>674</v>
      </c>
      <c r="I58" s="9" t="s">
        <v>414</v>
      </c>
      <c r="J58" s="9" t="s">
        <v>675</v>
      </c>
      <c r="K58" s="21" t="s">
        <v>400</v>
      </c>
      <c r="L58" s="21" t="s">
        <v>242</v>
      </c>
      <c r="M58" s="21" t="s">
        <v>278</v>
      </c>
      <c r="N58" s="21" t="s">
        <v>124</v>
      </c>
      <c r="O58" s="21" t="s">
        <v>21</v>
      </c>
      <c r="P58" s="21" t="s">
        <v>19</v>
      </c>
    </row>
    <row r="59" spans="1:16" x14ac:dyDescent="0.3">
      <c r="A59" s="21" t="s">
        <v>150</v>
      </c>
      <c r="B59" s="21" t="s">
        <v>388</v>
      </c>
      <c r="C59" s="21" t="s">
        <v>659</v>
      </c>
      <c r="D59" s="21" t="s">
        <v>212</v>
      </c>
      <c r="E59" s="21" t="s">
        <v>677</v>
      </c>
      <c r="F59" s="21" t="s">
        <v>678</v>
      </c>
      <c r="G59" s="21" t="s">
        <v>679</v>
      </c>
      <c r="H59" s="21" t="s">
        <v>185</v>
      </c>
      <c r="I59" s="21" t="s">
        <v>465</v>
      </c>
      <c r="J59" s="21" t="s">
        <v>466</v>
      </c>
      <c r="K59" s="21" t="s">
        <v>177</v>
      </c>
      <c r="L59" s="21" t="s">
        <v>261</v>
      </c>
      <c r="M59" s="21" t="s">
        <v>278</v>
      </c>
      <c r="N59" s="21" t="s">
        <v>124</v>
      </c>
      <c r="O59" s="21" t="s">
        <v>13</v>
      </c>
      <c r="P59" s="21" t="s">
        <v>15</v>
      </c>
    </row>
    <row r="60" spans="1:16" x14ac:dyDescent="0.3">
      <c r="A60" s="21" t="s">
        <v>684</v>
      </c>
      <c r="B60" s="21" t="s">
        <v>680</v>
      </c>
      <c r="C60" s="21" t="s">
        <v>681</v>
      </c>
      <c r="D60" s="21" t="s">
        <v>321</v>
      </c>
      <c r="E60" s="21" t="s">
        <v>682</v>
      </c>
      <c r="F60" s="21" t="s">
        <v>683</v>
      </c>
      <c r="G60" s="9" t="s">
        <v>354</v>
      </c>
      <c r="H60" s="9" t="s">
        <v>500</v>
      </c>
      <c r="I60" s="9" t="s">
        <v>324</v>
      </c>
      <c r="J60" s="9" t="s">
        <v>324</v>
      </c>
      <c r="K60" s="21" t="s">
        <v>201</v>
      </c>
      <c r="L60" s="21" t="s">
        <v>303</v>
      </c>
      <c r="M60" s="21" t="s">
        <v>124</v>
      </c>
      <c r="N60" s="21" t="s">
        <v>16</v>
      </c>
      <c r="O60" s="21" t="s">
        <v>124</v>
      </c>
      <c r="P60" s="21" t="s">
        <v>20</v>
      </c>
    </row>
    <row r="61" spans="1:16" x14ac:dyDescent="0.3">
      <c r="A61" s="22" t="s">
        <v>691</v>
      </c>
      <c r="B61" s="9" t="s">
        <v>685</v>
      </c>
      <c r="C61" s="9" t="s">
        <v>511</v>
      </c>
      <c r="D61" s="9" t="s">
        <v>253</v>
      </c>
      <c r="E61" s="9" t="s">
        <v>652</v>
      </c>
      <c r="F61" s="21" t="s">
        <v>686</v>
      </c>
      <c r="G61" s="21" t="s">
        <v>687</v>
      </c>
      <c r="H61" s="21" t="s">
        <v>476</v>
      </c>
      <c r="I61" s="21" t="s">
        <v>688</v>
      </c>
      <c r="J61" s="21" t="s">
        <v>689</v>
      </c>
      <c r="K61" s="21" t="s">
        <v>690</v>
      </c>
      <c r="L61" s="21" t="s">
        <v>535</v>
      </c>
      <c r="M61" s="21" t="s">
        <v>15</v>
      </c>
      <c r="N61" s="21" t="s">
        <v>14</v>
      </c>
      <c r="O61" s="21" t="s">
        <v>15</v>
      </c>
      <c r="P61" s="21" t="s">
        <v>231</v>
      </c>
    </row>
    <row r="62" spans="1:16" x14ac:dyDescent="0.3">
      <c r="A62" s="22" t="s">
        <v>700</v>
      </c>
      <c r="B62" s="9" t="s">
        <v>692</v>
      </c>
      <c r="C62" s="9" t="s">
        <v>693</v>
      </c>
      <c r="D62" s="9" t="s">
        <v>694</v>
      </c>
      <c r="E62" s="9" t="s">
        <v>695</v>
      </c>
      <c r="F62" s="9" t="s">
        <v>340</v>
      </c>
      <c r="G62" s="9" t="s">
        <v>228</v>
      </c>
      <c r="H62" s="9" t="s">
        <v>229</v>
      </c>
      <c r="I62" s="9" t="s">
        <v>696</v>
      </c>
      <c r="J62" s="9" t="s">
        <v>697</v>
      </c>
      <c r="K62" s="9" t="s">
        <v>698</v>
      </c>
      <c r="L62" s="9" t="s">
        <v>699</v>
      </c>
      <c r="M62" s="21" t="s">
        <v>213</v>
      </c>
      <c r="N62" s="21" t="s">
        <v>314</v>
      </c>
      <c r="O62" s="21" t="s">
        <v>19</v>
      </c>
      <c r="P62" s="21" t="s">
        <v>231</v>
      </c>
    </row>
    <row r="63" spans="1:16" x14ac:dyDescent="0.3">
      <c r="A63" s="21" t="s">
        <v>705</v>
      </c>
      <c r="B63" s="21" t="s">
        <v>701</v>
      </c>
      <c r="C63" s="9" t="s">
        <v>702</v>
      </c>
      <c r="D63" s="9" t="s">
        <v>703</v>
      </c>
      <c r="E63" s="9" t="s">
        <v>245</v>
      </c>
      <c r="F63" s="21" t="s">
        <v>328</v>
      </c>
      <c r="G63" s="21" t="s">
        <v>670</v>
      </c>
      <c r="H63" s="21" t="s">
        <v>347</v>
      </c>
      <c r="I63" s="21" t="s">
        <v>401</v>
      </c>
      <c r="J63" s="21" t="s">
        <v>704</v>
      </c>
      <c r="K63" s="9" t="s">
        <v>316</v>
      </c>
      <c r="L63" s="9" t="s">
        <v>175</v>
      </c>
      <c r="M63" s="21" t="s">
        <v>16</v>
      </c>
      <c r="N63" s="21" t="s">
        <v>123</v>
      </c>
      <c r="O63" s="21" t="s">
        <v>231</v>
      </c>
      <c r="P63" s="21" t="s">
        <v>15</v>
      </c>
    </row>
    <row r="64" spans="1:16" x14ac:dyDescent="0.3">
      <c r="A64" s="22" t="s">
        <v>709</v>
      </c>
      <c r="B64" s="9" t="s">
        <v>706</v>
      </c>
      <c r="C64" s="21" t="s">
        <v>533</v>
      </c>
      <c r="D64" s="21" t="s">
        <v>707</v>
      </c>
      <c r="E64" s="21" t="s">
        <v>708</v>
      </c>
      <c r="F64" s="9" t="s">
        <v>675</v>
      </c>
      <c r="G64" s="9" t="s">
        <v>354</v>
      </c>
      <c r="H64" s="9" t="s">
        <v>500</v>
      </c>
      <c r="I64" s="9" t="s">
        <v>324</v>
      </c>
      <c r="J64" s="9" t="s">
        <v>324</v>
      </c>
      <c r="K64" s="21" t="s">
        <v>201</v>
      </c>
      <c r="L64" s="21" t="s">
        <v>303</v>
      </c>
      <c r="M64" s="21" t="s">
        <v>124</v>
      </c>
      <c r="N64" s="21" t="s">
        <v>16</v>
      </c>
      <c r="O64" s="21" t="s">
        <v>124</v>
      </c>
      <c r="P64" s="21" t="s">
        <v>20</v>
      </c>
    </row>
    <row r="65" spans="1:16" x14ac:dyDescent="0.3">
      <c r="A65" s="21" t="s">
        <v>717</v>
      </c>
      <c r="B65" s="21" t="s">
        <v>268</v>
      </c>
      <c r="C65" s="21" t="s">
        <v>710</v>
      </c>
      <c r="D65" s="21" t="s">
        <v>362</v>
      </c>
      <c r="E65" s="21" t="s">
        <v>711</v>
      </c>
      <c r="F65" s="21" t="s">
        <v>712</v>
      </c>
      <c r="G65" s="21" t="s">
        <v>713</v>
      </c>
      <c r="H65" s="8" t="s">
        <v>714</v>
      </c>
      <c r="I65" s="21" t="s">
        <v>715</v>
      </c>
      <c r="J65" s="21" t="s">
        <v>423</v>
      </c>
      <c r="K65" s="21" t="s">
        <v>682</v>
      </c>
      <c r="L65" s="9" t="s">
        <v>716</v>
      </c>
      <c r="M65" s="21" t="s">
        <v>16</v>
      </c>
      <c r="N65" s="21" t="s">
        <v>470</v>
      </c>
      <c r="O65" s="21" t="s">
        <v>266</v>
      </c>
      <c r="P65" s="21" t="s">
        <v>19</v>
      </c>
    </row>
    <row r="66" spans="1:16" x14ac:dyDescent="0.3">
      <c r="A66" s="22" t="s">
        <v>720</v>
      </c>
      <c r="B66" s="9" t="s">
        <v>718</v>
      </c>
      <c r="C66" s="9" t="s">
        <v>706</v>
      </c>
      <c r="D66" s="9" t="s">
        <v>258</v>
      </c>
      <c r="E66" s="21" t="s">
        <v>609</v>
      </c>
      <c r="F66" s="21" t="s">
        <v>375</v>
      </c>
      <c r="G66" s="21" t="s">
        <v>719</v>
      </c>
      <c r="H66" s="9" t="s">
        <v>611</v>
      </c>
      <c r="I66" s="9" t="s">
        <v>583</v>
      </c>
      <c r="J66" s="21" t="s">
        <v>312</v>
      </c>
      <c r="K66" s="9" t="s">
        <v>219</v>
      </c>
      <c r="L66" s="21" t="s">
        <v>221</v>
      </c>
      <c r="M66" s="21" t="s">
        <v>278</v>
      </c>
      <c r="N66" s="21" t="s">
        <v>230</v>
      </c>
      <c r="O66" s="21" t="s">
        <v>16</v>
      </c>
      <c r="P66" s="21" t="s">
        <v>14</v>
      </c>
    </row>
    <row r="67" spans="1:16" x14ac:dyDescent="0.3">
      <c r="A67" s="21" t="s">
        <v>726</v>
      </c>
      <c r="B67" s="21" t="s">
        <v>680</v>
      </c>
      <c r="C67" s="9" t="s">
        <v>349</v>
      </c>
      <c r="D67" s="9" t="s">
        <v>721</v>
      </c>
      <c r="E67" s="21" t="s">
        <v>686</v>
      </c>
      <c r="F67" s="21" t="s">
        <v>722</v>
      </c>
      <c r="G67" s="9" t="s">
        <v>652</v>
      </c>
      <c r="H67" s="21" t="s">
        <v>226</v>
      </c>
      <c r="I67" s="21" t="s">
        <v>723</v>
      </c>
      <c r="J67" s="21" t="s">
        <v>712</v>
      </c>
      <c r="K67" s="8" t="s">
        <v>724</v>
      </c>
      <c r="L67" s="8" t="s">
        <v>725</v>
      </c>
      <c r="M67" s="21" t="s">
        <v>318</v>
      </c>
      <c r="N67" s="21" t="s">
        <v>318</v>
      </c>
      <c r="O67" s="21" t="s">
        <v>382</v>
      </c>
      <c r="P67" s="21" t="s">
        <v>382</v>
      </c>
    </row>
    <row r="68" spans="1:16" x14ac:dyDescent="0.3">
      <c r="A68" s="21" t="s">
        <v>733</v>
      </c>
      <c r="B68" s="21" t="s">
        <v>390</v>
      </c>
      <c r="C68" s="21" t="s">
        <v>303</v>
      </c>
      <c r="D68" s="21" t="s">
        <v>727</v>
      </c>
      <c r="E68" s="21" t="s">
        <v>728</v>
      </c>
      <c r="F68" s="21" t="s">
        <v>729</v>
      </c>
      <c r="G68" s="21" t="s">
        <v>514</v>
      </c>
      <c r="H68" s="8" t="s">
        <v>730</v>
      </c>
      <c r="I68" s="21" t="s">
        <v>731</v>
      </c>
      <c r="J68" s="21" t="s">
        <v>280</v>
      </c>
      <c r="K68" s="21" t="s">
        <v>732</v>
      </c>
      <c r="L68" s="21" t="s">
        <v>601</v>
      </c>
      <c r="M68" s="21" t="s">
        <v>16</v>
      </c>
      <c r="N68" s="21" t="s">
        <v>124</v>
      </c>
      <c r="O68" s="21" t="s">
        <v>124</v>
      </c>
      <c r="P68" s="21" t="s">
        <v>13</v>
      </c>
    </row>
    <row r="69" spans="1:16" x14ac:dyDescent="0.3">
      <c r="A69" s="21" t="s">
        <v>738</v>
      </c>
      <c r="B69" s="21" t="s">
        <v>734</v>
      </c>
      <c r="C69" s="21" t="s">
        <v>735</v>
      </c>
      <c r="D69" s="21" t="s">
        <v>576</v>
      </c>
      <c r="E69" s="21" t="s">
        <v>704</v>
      </c>
      <c r="F69" s="9" t="s">
        <v>736</v>
      </c>
      <c r="G69" s="9" t="s">
        <v>340</v>
      </c>
      <c r="H69" s="21" t="s">
        <v>502</v>
      </c>
      <c r="I69" s="21" t="s">
        <v>192</v>
      </c>
      <c r="J69" s="21" t="s">
        <v>177</v>
      </c>
      <c r="K69" s="21" t="s">
        <v>173</v>
      </c>
      <c r="L69" s="21" t="s">
        <v>737</v>
      </c>
      <c r="M69" s="21" t="s">
        <v>382</v>
      </c>
      <c r="N69" s="21" t="s">
        <v>16</v>
      </c>
      <c r="O69" s="21" t="s">
        <v>278</v>
      </c>
      <c r="P69" s="21" t="s">
        <v>382</v>
      </c>
    </row>
    <row r="70" spans="1:16" x14ac:dyDescent="0.3">
      <c r="A70" s="22" t="s">
        <v>743</v>
      </c>
      <c r="B70" s="9" t="s">
        <v>413</v>
      </c>
      <c r="C70" s="9" t="s">
        <v>500</v>
      </c>
      <c r="D70" s="9" t="s">
        <v>739</v>
      </c>
      <c r="E70" s="21" t="s">
        <v>465</v>
      </c>
      <c r="F70" s="21" t="s">
        <v>363</v>
      </c>
      <c r="G70" s="9" t="s">
        <v>740</v>
      </c>
      <c r="H70" s="9" t="s">
        <v>741</v>
      </c>
      <c r="I70" s="9" t="s">
        <v>718</v>
      </c>
      <c r="J70" s="9" t="s">
        <v>742</v>
      </c>
      <c r="K70" s="9" t="s">
        <v>340</v>
      </c>
      <c r="L70" s="21" t="s">
        <v>686</v>
      </c>
      <c r="M70" s="21" t="s">
        <v>278</v>
      </c>
      <c r="N70" s="21" t="s">
        <v>231</v>
      </c>
      <c r="O70" s="21" t="s">
        <v>14</v>
      </c>
      <c r="P70" s="21" t="s">
        <v>14</v>
      </c>
    </row>
    <row r="71" spans="1:16" x14ac:dyDescent="0.3">
      <c r="A71" s="21" t="s">
        <v>750</v>
      </c>
      <c r="B71" s="21" t="s">
        <v>198</v>
      </c>
      <c r="C71" s="9" t="s">
        <v>744</v>
      </c>
      <c r="D71" s="9" t="s">
        <v>745</v>
      </c>
      <c r="E71" s="9" t="s">
        <v>746</v>
      </c>
      <c r="F71" s="9" t="s">
        <v>183</v>
      </c>
      <c r="G71" s="9" t="s">
        <v>437</v>
      </c>
      <c r="H71" s="21" t="s">
        <v>178</v>
      </c>
      <c r="I71" s="21" t="s">
        <v>747</v>
      </c>
      <c r="J71" s="21" t="s">
        <v>748</v>
      </c>
      <c r="K71" s="21" t="s">
        <v>749</v>
      </c>
      <c r="L71" s="21" t="s">
        <v>722</v>
      </c>
      <c r="M71" s="21" t="s">
        <v>15</v>
      </c>
      <c r="N71" s="21" t="s">
        <v>124</v>
      </c>
      <c r="O71" s="21" t="s">
        <v>213</v>
      </c>
      <c r="P71" s="21" t="s">
        <v>19</v>
      </c>
    </row>
    <row r="72" spans="1:16" x14ac:dyDescent="0.3">
      <c r="A72" s="22" t="s">
        <v>753</v>
      </c>
      <c r="B72" s="9" t="s">
        <v>500</v>
      </c>
      <c r="C72" s="9" t="s">
        <v>500</v>
      </c>
      <c r="D72" s="9" t="s">
        <v>351</v>
      </c>
      <c r="E72" s="9" t="s">
        <v>751</v>
      </c>
      <c r="F72" s="9" t="s">
        <v>751</v>
      </c>
      <c r="G72" s="21" t="s">
        <v>185</v>
      </c>
      <c r="H72" s="21" t="s">
        <v>357</v>
      </c>
      <c r="I72" s="21" t="s">
        <v>357</v>
      </c>
      <c r="J72" s="9" t="s">
        <v>324</v>
      </c>
      <c r="K72" s="21" t="s">
        <v>752</v>
      </c>
      <c r="L72" s="21" t="s">
        <v>597</v>
      </c>
      <c r="M72" s="21" t="s">
        <v>16</v>
      </c>
      <c r="N72" s="21" t="s">
        <v>19</v>
      </c>
      <c r="O72" s="21" t="s">
        <v>230</v>
      </c>
      <c r="P72" s="21" t="s">
        <v>230</v>
      </c>
    </row>
    <row r="73" spans="1:16" x14ac:dyDescent="0.3">
      <c r="A73" s="21" t="s">
        <v>758</v>
      </c>
      <c r="B73" s="21" t="s">
        <v>562</v>
      </c>
      <c r="C73" s="21" t="s">
        <v>754</v>
      </c>
      <c r="D73" s="21" t="s">
        <v>193</v>
      </c>
      <c r="E73" s="21" t="s">
        <v>732</v>
      </c>
      <c r="F73" s="21" t="s">
        <v>637</v>
      </c>
      <c r="G73" s="9" t="s">
        <v>456</v>
      </c>
      <c r="H73" s="9" t="s">
        <v>755</v>
      </c>
      <c r="I73" s="9" t="s">
        <v>692</v>
      </c>
      <c r="J73" s="9" t="s">
        <v>756</v>
      </c>
      <c r="K73" s="9" t="s">
        <v>757</v>
      </c>
      <c r="L73" s="21" t="s">
        <v>599</v>
      </c>
      <c r="M73" s="21" t="s">
        <v>14</v>
      </c>
      <c r="N73" s="21" t="s">
        <v>230</v>
      </c>
      <c r="O73" s="21" t="s">
        <v>19</v>
      </c>
      <c r="P73" s="21" t="s">
        <v>382</v>
      </c>
    </row>
    <row r="74" spans="1:16" x14ac:dyDescent="0.3">
      <c r="A74" s="21" t="s">
        <v>764</v>
      </c>
      <c r="B74" s="21" t="s">
        <v>759</v>
      </c>
      <c r="C74" s="21" t="s">
        <v>328</v>
      </c>
      <c r="D74" s="21" t="s">
        <v>570</v>
      </c>
      <c r="E74" s="21" t="s">
        <v>363</v>
      </c>
      <c r="F74" s="9" t="s">
        <v>746</v>
      </c>
      <c r="G74" s="9" t="s">
        <v>760</v>
      </c>
      <c r="H74" s="9" t="s">
        <v>761</v>
      </c>
      <c r="I74" s="9" t="s">
        <v>741</v>
      </c>
      <c r="J74" s="9" t="s">
        <v>762</v>
      </c>
      <c r="K74" s="21" t="s">
        <v>763</v>
      </c>
      <c r="L74" s="21" t="s">
        <v>325</v>
      </c>
      <c r="M74" s="21" t="s">
        <v>16</v>
      </c>
      <c r="N74" s="21" t="s">
        <v>15</v>
      </c>
      <c r="O74" s="21" t="s">
        <v>382</v>
      </c>
      <c r="P74" s="21" t="s">
        <v>16</v>
      </c>
    </row>
    <row r="75" spans="1:16" x14ac:dyDescent="0.3">
      <c r="A75" s="21" t="s">
        <v>768</v>
      </c>
      <c r="B75" s="21" t="s">
        <v>460</v>
      </c>
      <c r="C75" s="21" t="s">
        <v>303</v>
      </c>
      <c r="D75" s="21" t="s">
        <v>177</v>
      </c>
      <c r="E75" s="21" t="s">
        <v>765</v>
      </c>
      <c r="F75" s="21" t="s">
        <v>766</v>
      </c>
      <c r="G75" s="21" t="s">
        <v>494</v>
      </c>
      <c r="H75" s="8" t="s">
        <v>420</v>
      </c>
      <c r="I75" s="21" t="s">
        <v>663</v>
      </c>
      <c r="J75" s="8" t="s">
        <v>767</v>
      </c>
      <c r="K75" s="21" t="s">
        <v>390</v>
      </c>
      <c r="L75" s="21" t="s">
        <v>704</v>
      </c>
      <c r="M75" s="21" t="s">
        <v>18</v>
      </c>
      <c r="N75" s="21" t="s">
        <v>20</v>
      </c>
      <c r="O75" s="21" t="s">
        <v>314</v>
      </c>
      <c r="P75" s="21" t="s">
        <v>231</v>
      </c>
    </row>
    <row r="76" spans="1:16" x14ac:dyDescent="0.3">
      <c r="A76" s="22" t="s">
        <v>774</v>
      </c>
      <c r="B76" s="9" t="s">
        <v>648</v>
      </c>
      <c r="C76" s="9" t="s">
        <v>648</v>
      </c>
      <c r="D76" s="9" t="s">
        <v>352</v>
      </c>
      <c r="E76" s="21" t="s">
        <v>769</v>
      </c>
      <c r="F76" s="9" t="s">
        <v>770</v>
      </c>
      <c r="G76" s="9" t="s">
        <v>771</v>
      </c>
      <c r="H76" s="9" t="s">
        <v>611</v>
      </c>
      <c r="I76" s="9" t="s">
        <v>772</v>
      </c>
      <c r="J76" s="9" t="s">
        <v>698</v>
      </c>
      <c r="K76" s="9" t="s">
        <v>661</v>
      </c>
      <c r="L76" s="9" t="s">
        <v>773</v>
      </c>
      <c r="M76" s="21" t="s">
        <v>16</v>
      </c>
      <c r="N76" s="21" t="s">
        <v>231</v>
      </c>
      <c r="O76" s="21" t="s">
        <v>16</v>
      </c>
      <c r="P76" s="21" t="s">
        <v>231</v>
      </c>
    </row>
    <row r="77" spans="1:16" x14ac:dyDescent="0.3">
      <c r="A77" s="22" t="s">
        <v>780</v>
      </c>
      <c r="B77" s="9" t="s">
        <v>775</v>
      </c>
      <c r="C77" s="9" t="s">
        <v>742</v>
      </c>
      <c r="D77" s="9" t="s">
        <v>436</v>
      </c>
      <c r="E77" s="21" t="s">
        <v>217</v>
      </c>
      <c r="F77" s="9" t="s">
        <v>324</v>
      </c>
      <c r="G77" s="21" t="s">
        <v>368</v>
      </c>
      <c r="H77" s="21" t="s">
        <v>776</v>
      </c>
      <c r="I77" s="21" t="s">
        <v>777</v>
      </c>
      <c r="J77" s="9" t="s">
        <v>778</v>
      </c>
      <c r="K77" s="21" t="s">
        <v>272</v>
      </c>
      <c r="L77" s="21" t="s">
        <v>779</v>
      </c>
      <c r="M77" s="21" t="s">
        <v>19</v>
      </c>
      <c r="N77" s="21" t="s">
        <v>213</v>
      </c>
      <c r="O77" s="21" t="s">
        <v>14</v>
      </c>
      <c r="P77" s="21" t="s">
        <v>122</v>
      </c>
    </row>
    <row r="78" spans="1:16" x14ac:dyDescent="0.3">
      <c r="A78" s="21" t="s">
        <v>785</v>
      </c>
      <c r="B78" s="21" t="s">
        <v>343</v>
      </c>
      <c r="C78" s="21" t="s">
        <v>781</v>
      </c>
      <c r="D78" s="21" t="s">
        <v>782</v>
      </c>
      <c r="E78" s="21" t="s">
        <v>452</v>
      </c>
      <c r="F78" s="21" t="s">
        <v>236</v>
      </c>
      <c r="G78" s="21" t="s">
        <v>670</v>
      </c>
      <c r="H78" s="21" t="s">
        <v>783</v>
      </c>
      <c r="I78" s="21" t="s">
        <v>357</v>
      </c>
      <c r="J78" s="21" t="s">
        <v>198</v>
      </c>
      <c r="K78" s="21" t="s">
        <v>784</v>
      </c>
      <c r="L78" s="9" t="s">
        <v>772</v>
      </c>
      <c r="M78" s="21" t="s">
        <v>231</v>
      </c>
      <c r="N78" s="21" t="s">
        <v>16</v>
      </c>
      <c r="O78" s="21" t="s">
        <v>470</v>
      </c>
      <c r="P78" s="21" t="s">
        <v>20</v>
      </c>
    </row>
    <row r="79" spans="1:16" x14ac:dyDescent="0.3">
      <c r="A79" s="22" t="s">
        <v>789</v>
      </c>
      <c r="B79" s="9" t="s">
        <v>786</v>
      </c>
      <c r="C79" s="21" t="s">
        <v>787</v>
      </c>
      <c r="D79" s="9" t="s">
        <v>209</v>
      </c>
      <c r="E79" s="21" t="s">
        <v>680</v>
      </c>
      <c r="F79" s="21" t="s">
        <v>591</v>
      </c>
      <c r="G79" s="21" t="s">
        <v>560</v>
      </c>
      <c r="H79" s="21" t="s">
        <v>283</v>
      </c>
      <c r="I79" s="21" t="s">
        <v>788</v>
      </c>
      <c r="J79" s="21" t="s">
        <v>516</v>
      </c>
      <c r="K79" s="21" t="s">
        <v>522</v>
      </c>
      <c r="L79" s="21" t="s">
        <v>317</v>
      </c>
      <c r="M79" s="21" t="s">
        <v>15</v>
      </c>
      <c r="N79" s="21" t="s">
        <v>231</v>
      </c>
      <c r="O79" s="21" t="s">
        <v>124</v>
      </c>
      <c r="P79" s="21" t="s">
        <v>230</v>
      </c>
    </row>
    <row r="80" spans="1:16" x14ac:dyDescent="0.3">
      <c r="A80" s="21" t="s">
        <v>795</v>
      </c>
      <c r="B80" s="21" t="s">
        <v>608</v>
      </c>
      <c r="C80" s="21" t="s">
        <v>389</v>
      </c>
      <c r="D80" s="21" t="s">
        <v>790</v>
      </c>
      <c r="E80" s="21" t="s">
        <v>791</v>
      </c>
      <c r="F80" s="9" t="s">
        <v>313</v>
      </c>
      <c r="G80" s="9" t="s">
        <v>792</v>
      </c>
      <c r="H80" s="21" t="s">
        <v>793</v>
      </c>
      <c r="I80" s="21" t="s">
        <v>543</v>
      </c>
      <c r="J80" s="9" t="s">
        <v>367</v>
      </c>
      <c r="K80" s="9" t="s">
        <v>324</v>
      </c>
      <c r="L80" s="21" t="s">
        <v>794</v>
      </c>
      <c r="M80" s="21" t="s">
        <v>314</v>
      </c>
      <c r="N80" s="21" t="s">
        <v>16</v>
      </c>
      <c r="O80" s="21" t="s">
        <v>19</v>
      </c>
      <c r="P80" s="21" t="s">
        <v>470</v>
      </c>
    </row>
    <row r="81" spans="1:16" x14ac:dyDescent="0.3">
      <c r="A81" s="23" t="s">
        <v>803</v>
      </c>
      <c r="B81" s="8" t="s">
        <v>796</v>
      </c>
      <c r="C81" s="21" t="s">
        <v>797</v>
      </c>
      <c r="D81" s="21" t="s">
        <v>263</v>
      </c>
      <c r="E81" s="9" t="s">
        <v>746</v>
      </c>
      <c r="F81" s="9" t="s">
        <v>798</v>
      </c>
      <c r="G81" s="9" t="s">
        <v>799</v>
      </c>
      <c r="H81" s="9" t="s">
        <v>800</v>
      </c>
      <c r="I81" s="9" t="s">
        <v>801</v>
      </c>
      <c r="J81" s="9" t="s">
        <v>802</v>
      </c>
      <c r="K81" s="9" t="s">
        <v>199</v>
      </c>
      <c r="L81" s="9" t="s">
        <v>429</v>
      </c>
      <c r="M81" s="21" t="s">
        <v>16</v>
      </c>
      <c r="N81" s="21" t="s">
        <v>16</v>
      </c>
      <c r="O81" s="21" t="s">
        <v>213</v>
      </c>
      <c r="P81" s="21" t="s">
        <v>124</v>
      </c>
    </row>
    <row r="82" spans="1:16" x14ac:dyDescent="0.3">
      <c r="A82" s="21" t="s">
        <v>810</v>
      </c>
      <c r="B82" s="21" t="s">
        <v>581</v>
      </c>
      <c r="C82" s="21" t="s">
        <v>804</v>
      </c>
      <c r="D82" s="9" t="s">
        <v>805</v>
      </c>
      <c r="E82" s="21" t="s">
        <v>294</v>
      </c>
      <c r="F82" s="21" t="s">
        <v>806</v>
      </c>
      <c r="G82" s="9" t="s">
        <v>351</v>
      </c>
      <c r="H82" s="9" t="s">
        <v>305</v>
      </c>
      <c r="I82" s="9" t="s">
        <v>807</v>
      </c>
      <c r="J82" s="9" t="s">
        <v>808</v>
      </c>
      <c r="K82" s="9" t="s">
        <v>741</v>
      </c>
      <c r="L82" s="9" t="s">
        <v>809</v>
      </c>
      <c r="M82" s="21" t="s">
        <v>231</v>
      </c>
      <c r="N82" s="21" t="s">
        <v>16</v>
      </c>
      <c r="O82" s="21" t="s">
        <v>278</v>
      </c>
      <c r="P82" s="21" t="s">
        <v>15</v>
      </c>
    </row>
    <row r="83" spans="1:16" x14ac:dyDescent="0.3">
      <c r="A83" s="21" t="s">
        <v>818</v>
      </c>
      <c r="B83" s="21" t="s">
        <v>811</v>
      </c>
      <c r="C83" s="21" t="s">
        <v>812</v>
      </c>
      <c r="D83" s="21" t="s">
        <v>813</v>
      </c>
      <c r="E83" s="21" t="s">
        <v>814</v>
      </c>
      <c r="F83" s="21" t="s">
        <v>678</v>
      </c>
      <c r="G83" s="21" t="s">
        <v>815</v>
      </c>
      <c r="H83" s="21" t="s">
        <v>590</v>
      </c>
      <c r="I83" s="21" t="s">
        <v>686</v>
      </c>
      <c r="J83" s="21" t="s">
        <v>816</v>
      </c>
      <c r="K83" s="21" t="s">
        <v>817</v>
      </c>
      <c r="L83" s="21" t="s">
        <v>554</v>
      </c>
      <c r="M83" s="21" t="s">
        <v>14</v>
      </c>
      <c r="N83" s="21" t="s">
        <v>318</v>
      </c>
      <c r="O83" s="21" t="s">
        <v>213</v>
      </c>
      <c r="P83" s="21" t="s">
        <v>470</v>
      </c>
    </row>
    <row r="84" spans="1:16" x14ac:dyDescent="0.3">
      <c r="A84" s="23" t="s">
        <v>823</v>
      </c>
      <c r="B84" s="8" t="s">
        <v>819</v>
      </c>
      <c r="C84" s="21" t="s">
        <v>311</v>
      </c>
      <c r="D84" s="21" t="s">
        <v>255</v>
      </c>
      <c r="E84" s="21" t="s">
        <v>551</v>
      </c>
      <c r="F84" s="9" t="s">
        <v>820</v>
      </c>
      <c r="G84" s="9" t="s">
        <v>718</v>
      </c>
      <c r="H84" s="9" t="s">
        <v>821</v>
      </c>
      <c r="I84" s="9" t="s">
        <v>647</v>
      </c>
      <c r="J84" s="9" t="s">
        <v>675</v>
      </c>
      <c r="K84" s="9" t="s">
        <v>324</v>
      </c>
      <c r="L84" s="21" t="s">
        <v>822</v>
      </c>
      <c r="M84" s="21" t="s">
        <v>13</v>
      </c>
      <c r="N84" s="21" t="s">
        <v>124</v>
      </c>
      <c r="O84" s="21" t="s">
        <v>16</v>
      </c>
      <c r="P84" s="21" t="s">
        <v>14</v>
      </c>
    </row>
    <row r="85" spans="1:16" x14ac:dyDescent="0.3">
      <c r="A85" s="22" t="s">
        <v>830</v>
      </c>
      <c r="B85" s="9" t="s">
        <v>824</v>
      </c>
      <c r="C85" s="9" t="s">
        <v>825</v>
      </c>
      <c r="D85" s="9" t="s">
        <v>183</v>
      </c>
      <c r="E85" s="9" t="s">
        <v>826</v>
      </c>
      <c r="F85" s="9" t="s">
        <v>289</v>
      </c>
      <c r="G85" s="9" t="s">
        <v>706</v>
      </c>
      <c r="H85" s="9" t="s">
        <v>827</v>
      </c>
      <c r="I85" s="9" t="s">
        <v>413</v>
      </c>
      <c r="J85" s="9" t="s">
        <v>828</v>
      </c>
      <c r="K85" s="21" t="s">
        <v>829</v>
      </c>
      <c r="L85" s="21" t="s">
        <v>603</v>
      </c>
      <c r="M85" s="21" t="s">
        <v>16</v>
      </c>
      <c r="N85" s="21" t="s">
        <v>16</v>
      </c>
      <c r="O85" s="21" t="s">
        <v>318</v>
      </c>
      <c r="P85" s="21" t="s">
        <v>231</v>
      </c>
    </row>
    <row r="86" spans="1:16" x14ac:dyDescent="0.3">
      <c r="A86" s="21" t="s">
        <v>833</v>
      </c>
      <c r="B86" s="21" t="s">
        <v>682</v>
      </c>
      <c r="C86" s="21" t="s">
        <v>589</v>
      </c>
      <c r="D86" s="21" t="s">
        <v>264</v>
      </c>
      <c r="E86" s="21" t="s">
        <v>468</v>
      </c>
      <c r="F86" s="21" t="s">
        <v>599</v>
      </c>
      <c r="G86" s="21" t="s">
        <v>387</v>
      </c>
      <c r="H86" s="21" t="s">
        <v>284</v>
      </c>
      <c r="I86" s="21" t="s">
        <v>831</v>
      </c>
      <c r="J86" s="9" t="s">
        <v>832</v>
      </c>
      <c r="K86" s="9" t="s">
        <v>772</v>
      </c>
      <c r="L86" s="9" t="s">
        <v>305</v>
      </c>
      <c r="M86" s="21" t="s">
        <v>124</v>
      </c>
      <c r="N86" s="21" t="s">
        <v>16</v>
      </c>
      <c r="O86" s="21" t="s">
        <v>21</v>
      </c>
      <c r="P86" s="21" t="s">
        <v>231</v>
      </c>
    </row>
    <row r="87" spans="1:16" x14ac:dyDescent="0.3">
      <c r="A87" s="21" t="s">
        <v>151</v>
      </c>
      <c r="B87" s="21" t="s">
        <v>173</v>
      </c>
      <c r="C87" s="21" t="s">
        <v>574</v>
      </c>
      <c r="D87" s="21" t="s">
        <v>834</v>
      </c>
      <c r="E87" s="21" t="s">
        <v>835</v>
      </c>
      <c r="F87" s="21" t="s">
        <v>301</v>
      </c>
      <c r="G87" s="21" t="s">
        <v>677</v>
      </c>
      <c r="H87" s="21" t="s">
        <v>513</v>
      </c>
      <c r="I87" s="21" t="s">
        <v>188</v>
      </c>
      <c r="J87" s="21" t="s">
        <v>466</v>
      </c>
      <c r="K87" s="21" t="s">
        <v>836</v>
      </c>
      <c r="L87" s="21" t="s">
        <v>396</v>
      </c>
      <c r="M87" s="21" t="s">
        <v>124</v>
      </c>
      <c r="N87" s="21" t="s">
        <v>278</v>
      </c>
      <c r="O87" s="21" t="s">
        <v>15</v>
      </c>
      <c r="P87" s="21" t="s">
        <v>19</v>
      </c>
    </row>
    <row r="88" spans="1:16" x14ac:dyDescent="0.3">
      <c r="A88" s="21" t="s">
        <v>843</v>
      </c>
      <c r="B88" s="21" t="s">
        <v>325</v>
      </c>
      <c r="C88" s="21" t="s">
        <v>837</v>
      </c>
      <c r="D88" s="21" t="s">
        <v>838</v>
      </c>
      <c r="E88" s="21" t="s">
        <v>839</v>
      </c>
      <c r="F88" s="21" t="s">
        <v>840</v>
      </c>
      <c r="G88" s="21" t="s">
        <v>390</v>
      </c>
      <c r="H88" s="21" t="s">
        <v>841</v>
      </c>
      <c r="I88" s="8" t="s">
        <v>842</v>
      </c>
      <c r="J88" s="21" t="s">
        <v>252</v>
      </c>
      <c r="K88" s="21" t="s">
        <v>301</v>
      </c>
      <c r="L88" s="21" t="s">
        <v>378</v>
      </c>
      <c r="M88" s="21" t="s">
        <v>15</v>
      </c>
      <c r="N88" s="21" t="s">
        <v>124</v>
      </c>
      <c r="O88" s="21" t="s">
        <v>231</v>
      </c>
      <c r="P88" s="21" t="s">
        <v>21</v>
      </c>
    </row>
    <row r="89" spans="1:16" x14ac:dyDescent="0.3">
      <c r="A89" s="21" t="s">
        <v>848</v>
      </c>
      <c r="B89" s="21" t="s">
        <v>844</v>
      </c>
      <c r="C89" s="21" t="s">
        <v>544</v>
      </c>
      <c r="D89" s="21" t="s">
        <v>517</v>
      </c>
      <c r="E89" s="21" t="s">
        <v>845</v>
      </c>
      <c r="F89" s="21" t="s">
        <v>846</v>
      </c>
      <c r="G89" s="9" t="s">
        <v>847</v>
      </c>
      <c r="H89" s="9" t="s">
        <v>692</v>
      </c>
      <c r="I89" s="9" t="s">
        <v>756</v>
      </c>
      <c r="J89" s="21" t="s">
        <v>388</v>
      </c>
      <c r="K89" s="21" t="s">
        <v>710</v>
      </c>
      <c r="L89" s="21" t="s">
        <v>599</v>
      </c>
      <c r="M89" s="21" t="s">
        <v>21</v>
      </c>
      <c r="N89" s="21" t="s">
        <v>230</v>
      </c>
      <c r="O89" s="21" t="s">
        <v>124</v>
      </c>
      <c r="P89" s="21" t="s">
        <v>15</v>
      </c>
    </row>
    <row r="90" spans="1:16" x14ac:dyDescent="0.3">
      <c r="A90" s="21" t="s">
        <v>852</v>
      </c>
      <c r="B90" s="21" t="s">
        <v>259</v>
      </c>
      <c r="C90" s="21" t="s">
        <v>849</v>
      </c>
      <c r="D90" s="21" t="s">
        <v>850</v>
      </c>
      <c r="E90" s="9" t="s">
        <v>228</v>
      </c>
      <c r="F90" s="9" t="s">
        <v>324</v>
      </c>
      <c r="G90" s="9" t="s">
        <v>851</v>
      </c>
      <c r="H90" s="21" t="s">
        <v>317</v>
      </c>
      <c r="I90" s="21" t="s">
        <v>465</v>
      </c>
      <c r="J90" s="9" t="s">
        <v>437</v>
      </c>
      <c r="K90" s="9" t="s">
        <v>324</v>
      </c>
      <c r="L90" s="21" t="s">
        <v>637</v>
      </c>
      <c r="M90" s="21" t="s">
        <v>16</v>
      </c>
      <c r="N90" s="21" t="s">
        <v>231</v>
      </c>
      <c r="O90" s="21" t="s">
        <v>20</v>
      </c>
      <c r="P90" s="21" t="s">
        <v>278</v>
      </c>
    </row>
    <row r="91" spans="1:16" x14ac:dyDescent="0.3">
      <c r="A91" s="21" t="s">
        <v>152</v>
      </c>
      <c r="B91" s="21" t="s">
        <v>853</v>
      </c>
      <c r="C91" s="21" t="s">
        <v>715</v>
      </c>
      <c r="D91" s="21" t="s">
        <v>532</v>
      </c>
      <c r="E91" s="21" t="s">
        <v>553</v>
      </c>
      <c r="F91" s="21" t="s">
        <v>375</v>
      </c>
      <c r="G91" s="21" t="s">
        <v>444</v>
      </c>
      <c r="H91" s="21" t="s">
        <v>479</v>
      </c>
      <c r="I91" s="21" t="s">
        <v>261</v>
      </c>
      <c r="J91" s="21" t="s">
        <v>854</v>
      </c>
      <c r="K91" s="21" t="s">
        <v>534</v>
      </c>
      <c r="L91" s="21" t="s">
        <v>855</v>
      </c>
      <c r="M91" s="21" t="s">
        <v>16</v>
      </c>
      <c r="N91" s="21" t="s">
        <v>314</v>
      </c>
      <c r="O91" s="21" t="s">
        <v>21</v>
      </c>
      <c r="P91" s="21" t="s">
        <v>231</v>
      </c>
    </row>
    <row r="92" spans="1:16" x14ac:dyDescent="0.3">
      <c r="A92" s="21" t="s">
        <v>859</v>
      </c>
      <c r="B92" s="21" t="s">
        <v>296</v>
      </c>
      <c r="C92" s="21" t="s">
        <v>856</v>
      </c>
      <c r="D92" s="21" t="s">
        <v>835</v>
      </c>
      <c r="E92" s="21" t="s">
        <v>857</v>
      </c>
      <c r="F92" s="21" t="s">
        <v>858</v>
      </c>
      <c r="G92" s="21" t="s">
        <v>797</v>
      </c>
      <c r="H92" s="21" t="s">
        <v>680</v>
      </c>
      <c r="I92" s="21" t="s">
        <v>233</v>
      </c>
      <c r="J92" s="21" t="s">
        <v>784</v>
      </c>
      <c r="K92" s="9" t="s">
        <v>500</v>
      </c>
      <c r="L92" s="9" t="s">
        <v>430</v>
      </c>
      <c r="M92" s="21" t="s">
        <v>14</v>
      </c>
      <c r="N92" s="21" t="s">
        <v>231</v>
      </c>
      <c r="O92" s="21" t="s">
        <v>21</v>
      </c>
      <c r="P92" s="21" t="s">
        <v>16</v>
      </c>
    </row>
    <row r="93" spans="1:16" x14ac:dyDescent="0.3">
      <c r="A93" s="22" t="s">
        <v>866</v>
      </c>
      <c r="B93" s="9" t="s">
        <v>860</v>
      </c>
      <c r="C93" s="9" t="s">
        <v>861</v>
      </c>
      <c r="D93" s="9" t="s">
        <v>862</v>
      </c>
      <c r="E93" s="9" t="s">
        <v>863</v>
      </c>
      <c r="F93" s="9" t="s">
        <v>864</v>
      </c>
      <c r="G93" s="9" t="s">
        <v>745</v>
      </c>
      <c r="H93" s="9" t="s">
        <v>647</v>
      </c>
      <c r="I93" s="9" t="s">
        <v>413</v>
      </c>
      <c r="J93" s="9" t="s">
        <v>865</v>
      </c>
      <c r="K93" s="21" t="s">
        <v>399</v>
      </c>
      <c r="L93" s="21" t="s">
        <v>201</v>
      </c>
      <c r="M93" s="21" t="s">
        <v>18</v>
      </c>
      <c r="N93" s="21" t="s">
        <v>124</v>
      </c>
      <c r="O93" s="21" t="s">
        <v>13</v>
      </c>
      <c r="P93" s="21" t="s">
        <v>213</v>
      </c>
    </row>
    <row r="94" spans="1:16" x14ac:dyDescent="0.3">
      <c r="A94" s="21" t="s">
        <v>875</v>
      </c>
      <c r="B94" s="21" t="s">
        <v>867</v>
      </c>
      <c r="C94" s="21" t="s">
        <v>868</v>
      </c>
      <c r="D94" s="21" t="s">
        <v>301</v>
      </c>
      <c r="E94" s="21" t="s">
        <v>594</v>
      </c>
      <c r="F94" s="21" t="s">
        <v>869</v>
      </c>
      <c r="G94" s="8" t="s">
        <v>870</v>
      </c>
      <c r="H94" s="8" t="s">
        <v>871</v>
      </c>
      <c r="I94" s="8" t="s">
        <v>491</v>
      </c>
      <c r="J94" s="8" t="s">
        <v>872</v>
      </c>
      <c r="K94" s="8" t="s">
        <v>873</v>
      </c>
      <c r="L94" s="21" t="s">
        <v>874</v>
      </c>
      <c r="M94" s="21" t="s">
        <v>16</v>
      </c>
      <c r="N94" s="21" t="s">
        <v>318</v>
      </c>
      <c r="O94" s="21" t="s">
        <v>318</v>
      </c>
      <c r="P94" s="21" t="s">
        <v>18</v>
      </c>
    </row>
    <row r="95" spans="1:16" x14ac:dyDescent="0.3">
      <c r="A95" s="22" t="s">
        <v>880</v>
      </c>
      <c r="B95" s="9" t="s">
        <v>876</v>
      </c>
      <c r="C95" s="21" t="s">
        <v>396</v>
      </c>
      <c r="D95" s="21" t="s">
        <v>877</v>
      </c>
      <c r="E95" s="9" t="s">
        <v>652</v>
      </c>
      <c r="F95" s="21" t="s">
        <v>686</v>
      </c>
      <c r="G95" s="21" t="s">
        <v>878</v>
      </c>
      <c r="H95" s="9" t="s">
        <v>647</v>
      </c>
      <c r="I95" s="9" t="s">
        <v>413</v>
      </c>
      <c r="J95" s="9" t="s">
        <v>879</v>
      </c>
      <c r="K95" s="9" t="s">
        <v>751</v>
      </c>
      <c r="L95" s="9" t="s">
        <v>757</v>
      </c>
      <c r="M95" s="21" t="s">
        <v>314</v>
      </c>
      <c r="N95" s="21" t="s">
        <v>278</v>
      </c>
      <c r="O95" s="21" t="s">
        <v>16</v>
      </c>
      <c r="P95" s="21" t="s">
        <v>470</v>
      </c>
    </row>
    <row r="96" spans="1:16" x14ac:dyDescent="0.3">
      <c r="A96" s="21" t="s">
        <v>884</v>
      </c>
      <c r="B96" s="21" t="s">
        <v>296</v>
      </c>
      <c r="C96" s="21" t="s">
        <v>466</v>
      </c>
      <c r="D96" s="21" t="s">
        <v>836</v>
      </c>
      <c r="E96" s="21" t="s">
        <v>374</v>
      </c>
      <c r="F96" s="21" t="s">
        <v>179</v>
      </c>
      <c r="G96" s="21" t="s">
        <v>308</v>
      </c>
      <c r="H96" s="21" t="s">
        <v>881</v>
      </c>
      <c r="I96" s="9" t="s">
        <v>882</v>
      </c>
      <c r="J96" s="9" t="s">
        <v>413</v>
      </c>
      <c r="K96" s="9" t="s">
        <v>883</v>
      </c>
      <c r="L96" s="9" t="s">
        <v>313</v>
      </c>
      <c r="M96" s="21" t="s">
        <v>19</v>
      </c>
      <c r="N96" s="21" t="s">
        <v>213</v>
      </c>
      <c r="O96" s="21" t="s">
        <v>278</v>
      </c>
      <c r="P96" s="21" t="s">
        <v>18</v>
      </c>
    </row>
    <row r="97" spans="1:16" x14ac:dyDescent="0.3">
      <c r="A97" s="21" t="s">
        <v>890</v>
      </c>
      <c r="B97" s="21" t="s">
        <v>195</v>
      </c>
      <c r="C97" s="21" t="s">
        <v>188</v>
      </c>
      <c r="D97" s="21" t="s">
        <v>233</v>
      </c>
      <c r="E97" s="21" t="s">
        <v>885</v>
      </c>
      <c r="F97" s="21" t="s">
        <v>286</v>
      </c>
      <c r="G97" s="21" t="s">
        <v>886</v>
      </c>
      <c r="H97" s="21" t="s">
        <v>715</v>
      </c>
      <c r="I97" s="21" t="s">
        <v>887</v>
      </c>
      <c r="J97" s="9" t="s">
        <v>888</v>
      </c>
      <c r="K97" s="21" t="s">
        <v>889</v>
      </c>
      <c r="L97" s="9" t="s">
        <v>865</v>
      </c>
      <c r="M97" s="21" t="s">
        <v>231</v>
      </c>
      <c r="N97" s="21" t="s">
        <v>230</v>
      </c>
      <c r="O97" s="21" t="s">
        <v>21</v>
      </c>
      <c r="P97" s="21" t="s">
        <v>266</v>
      </c>
    </row>
    <row r="98" spans="1:16" x14ac:dyDescent="0.3">
      <c r="A98" s="21" t="s">
        <v>892</v>
      </c>
      <c r="B98" s="21" t="s">
        <v>465</v>
      </c>
      <c r="C98" s="21" t="s">
        <v>303</v>
      </c>
      <c r="D98" s="9" t="s">
        <v>596</v>
      </c>
      <c r="E98" s="9" t="s">
        <v>647</v>
      </c>
      <c r="F98" s="9" t="s">
        <v>292</v>
      </c>
      <c r="G98" s="9" t="s">
        <v>891</v>
      </c>
      <c r="H98" s="9" t="s">
        <v>652</v>
      </c>
      <c r="I98" s="9" t="s">
        <v>292</v>
      </c>
      <c r="J98" s="9" t="s">
        <v>237</v>
      </c>
      <c r="K98" s="9" t="s">
        <v>697</v>
      </c>
      <c r="L98" s="9" t="s">
        <v>199</v>
      </c>
      <c r="M98" s="21" t="s">
        <v>231</v>
      </c>
      <c r="N98" s="21" t="s">
        <v>20</v>
      </c>
      <c r="O98" s="21" t="s">
        <v>16</v>
      </c>
      <c r="P98" s="21" t="s">
        <v>16</v>
      </c>
    </row>
    <row r="99" spans="1:16" x14ac:dyDescent="0.3">
      <c r="A99" s="21" t="s">
        <v>896</v>
      </c>
      <c r="B99" s="21" t="s">
        <v>893</v>
      </c>
      <c r="C99" s="21" t="s">
        <v>604</v>
      </c>
      <c r="D99" s="21" t="s">
        <v>520</v>
      </c>
      <c r="E99" s="21" t="s">
        <v>894</v>
      </c>
      <c r="F99" s="21" t="s">
        <v>878</v>
      </c>
      <c r="G99" s="9" t="s">
        <v>895</v>
      </c>
      <c r="H99" s="21" t="s">
        <v>336</v>
      </c>
      <c r="I99" s="21" t="s">
        <v>537</v>
      </c>
      <c r="J99" s="21" t="s">
        <v>598</v>
      </c>
      <c r="K99" s="21" t="s">
        <v>458</v>
      </c>
      <c r="L99" s="21" t="s">
        <v>719</v>
      </c>
      <c r="M99" s="21" t="s">
        <v>230</v>
      </c>
      <c r="N99" s="21" t="s">
        <v>278</v>
      </c>
      <c r="O99" s="21" t="s">
        <v>13</v>
      </c>
      <c r="P99" s="21" t="s">
        <v>19</v>
      </c>
    </row>
    <row r="100" spans="1:16" x14ac:dyDescent="0.3">
      <c r="A100" s="21" t="s">
        <v>901</v>
      </c>
      <c r="B100" s="21" t="s">
        <v>248</v>
      </c>
      <c r="C100" s="21" t="s">
        <v>897</v>
      </c>
      <c r="D100" s="21" t="s">
        <v>616</v>
      </c>
      <c r="E100" s="21" t="s">
        <v>765</v>
      </c>
      <c r="F100" s="21" t="s">
        <v>868</v>
      </c>
      <c r="G100" s="21" t="s">
        <v>898</v>
      </c>
      <c r="H100" s="21" t="s">
        <v>580</v>
      </c>
      <c r="I100" s="9" t="s">
        <v>219</v>
      </c>
      <c r="J100" s="9" t="s">
        <v>899</v>
      </c>
      <c r="K100" s="9" t="s">
        <v>851</v>
      </c>
      <c r="L100" s="9" t="s">
        <v>900</v>
      </c>
      <c r="M100" s="21" t="s">
        <v>231</v>
      </c>
      <c r="N100" s="21" t="s">
        <v>16</v>
      </c>
      <c r="O100" s="21" t="s">
        <v>21</v>
      </c>
      <c r="P100" s="21" t="s">
        <v>124</v>
      </c>
    </row>
    <row r="101" spans="1:16" x14ac:dyDescent="0.3">
      <c r="A101" s="21" t="s">
        <v>907</v>
      </c>
      <c r="B101" s="21" t="s">
        <v>683</v>
      </c>
      <c r="C101" s="9" t="s">
        <v>778</v>
      </c>
      <c r="D101" s="9" t="s">
        <v>902</v>
      </c>
      <c r="E101" s="9" t="s">
        <v>903</v>
      </c>
      <c r="F101" s="9" t="s">
        <v>745</v>
      </c>
      <c r="G101" s="9" t="s">
        <v>647</v>
      </c>
      <c r="H101" s="9" t="s">
        <v>904</v>
      </c>
      <c r="I101" s="9" t="s">
        <v>414</v>
      </c>
      <c r="J101" s="9" t="s">
        <v>905</v>
      </c>
      <c r="K101" s="9" t="s">
        <v>692</v>
      </c>
      <c r="L101" s="9" t="s">
        <v>906</v>
      </c>
      <c r="M101" s="21" t="s">
        <v>124</v>
      </c>
      <c r="N101" s="21" t="s">
        <v>16</v>
      </c>
      <c r="O101" s="21" t="s">
        <v>124</v>
      </c>
      <c r="P101" s="21" t="s">
        <v>213</v>
      </c>
    </row>
    <row r="102" spans="1:16" x14ac:dyDescent="0.3">
      <c r="A102" s="22" t="s">
        <v>911</v>
      </c>
      <c r="B102" s="9" t="s">
        <v>908</v>
      </c>
      <c r="C102" s="9" t="s">
        <v>909</v>
      </c>
      <c r="D102" s="9" t="s">
        <v>910</v>
      </c>
      <c r="E102" s="9" t="s">
        <v>685</v>
      </c>
      <c r="F102" s="9" t="s">
        <v>645</v>
      </c>
      <c r="G102" s="9" t="s">
        <v>685</v>
      </c>
      <c r="H102" s="9" t="s">
        <v>762</v>
      </c>
      <c r="I102" s="9" t="s">
        <v>809</v>
      </c>
      <c r="J102" s="9" t="s">
        <v>186</v>
      </c>
      <c r="K102" s="21" t="s">
        <v>259</v>
      </c>
      <c r="L102" s="21" t="s">
        <v>452</v>
      </c>
      <c r="M102" s="21" t="s">
        <v>16</v>
      </c>
      <c r="N102" s="21" t="s">
        <v>16</v>
      </c>
      <c r="O102" s="21" t="s">
        <v>318</v>
      </c>
      <c r="P102" s="21" t="s">
        <v>231</v>
      </c>
    </row>
    <row r="103" spans="1:16" x14ac:dyDescent="0.3">
      <c r="A103" s="21" t="s">
        <v>916</v>
      </c>
      <c r="B103" s="21" t="s">
        <v>325</v>
      </c>
      <c r="C103" s="21" t="s">
        <v>912</v>
      </c>
      <c r="D103" s="9" t="s">
        <v>721</v>
      </c>
      <c r="E103" s="9" t="s">
        <v>697</v>
      </c>
      <c r="F103" s="9" t="s">
        <v>428</v>
      </c>
      <c r="G103" s="9" t="s">
        <v>913</v>
      </c>
      <c r="H103" s="9" t="s">
        <v>340</v>
      </c>
      <c r="I103" s="9" t="s">
        <v>647</v>
      </c>
      <c r="J103" s="9" t="s">
        <v>661</v>
      </c>
      <c r="K103" s="9" t="s">
        <v>914</v>
      </c>
      <c r="L103" s="9" t="s">
        <v>915</v>
      </c>
      <c r="M103" s="21" t="s">
        <v>231</v>
      </c>
      <c r="N103" s="21" t="s">
        <v>231</v>
      </c>
      <c r="O103" s="21" t="s">
        <v>213</v>
      </c>
      <c r="P103" s="21" t="s">
        <v>16</v>
      </c>
    </row>
    <row r="104" spans="1:16" x14ac:dyDescent="0.3">
      <c r="A104" s="21" t="s">
        <v>920</v>
      </c>
      <c r="B104" s="21" t="s">
        <v>248</v>
      </c>
      <c r="C104" s="21" t="s">
        <v>897</v>
      </c>
      <c r="D104" s="21" t="s">
        <v>616</v>
      </c>
      <c r="E104" s="21" t="s">
        <v>431</v>
      </c>
      <c r="F104" s="21" t="s">
        <v>917</v>
      </c>
      <c r="G104" s="9" t="s">
        <v>918</v>
      </c>
      <c r="H104" s="21" t="s">
        <v>919</v>
      </c>
      <c r="I104" s="9" t="s">
        <v>183</v>
      </c>
      <c r="J104" s="9" t="s">
        <v>899</v>
      </c>
      <c r="K104" s="9" t="s">
        <v>851</v>
      </c>
      <c r="L104" s="9" t="s">
        <v>900</v>
      </c>
      <c r="M104" s="21" t="s">
        <v>231</v>
      </c>
      <c r="N104" s="21" t="s">
        <v>16</v>
      </c>
      <c r="O104" s="21" t="s">
        <v>21</v>
      </c>
      <c r="P104" s="21" t="s">
        <v>124</v>
      </c>
    </row>
    <row r="105" spans="1:16" x14ac:dyDescent="0.3">
      <c r="A105" s="22" t="s">
        <v>925</v>
      </c>
      <c r="B105" s="9" t="s">
        <v>430</v>
      </c>
      <c r="C105" s="21" t="s">
        <v>921</v>
      </c>
      <c r="D105" s="21" t="s">
        <v>735</v>
      </c>
      <c r="E105" s="21" t="s">
        <v>615</v>
      </c>
      <c r="F105" s="21" t="s">
        <v>514</v>
      </c>
      <c r="G105" s="8" t="s">
        <v>922</v>
      </c>
      <c r="H105" s="8" t="s">
        <v>923</v>
      </c>
      <c r="I105" s="8" t="s">
        <v>528</v>
      </c>
      <c r="J105" s="21" t="s">
        <v>924</v>
      </c>
      <c r="K105" s="9" t="s">
        <v>744</v>
      </c>
      <c r="L105" s="9" t="s">
        <v>903</v>
      </c>
      <c r="M105" s="21" t="s">
        <v>19</v>
      </c>
      <c r="N105" s="21" t="s">
        <v>231</v>
      </c>
      <c r="O105" s="21" t="s">
        <v>16</v>
      </c>
      <c r="P105" s="21" t="s">
        <v>314</v>
      </c>
    </row>
    <row r="106" spans="1:16" x14ac:dyDescent="0.3">
      <c r="A106" s="22" t="s">
        <v>929</v>
      </c>
      <c r="B106" s="9" t="s">
        <v>651</v>
      </c>
      <c r="C106" s="9" t="s">
        <v>926</v>
      </c>
      <c r="D106" s="9" t="s">
        <v>289</v>
      </c>
      <c r="E106" s="9" t="s">
        <v>927</v>
      </c>
      <c r="F106" s="9" t="s">
        <v>824</v>
      </c>
      <c r="G106" s="9" t="s">
        <v>706</v>
      </c>
      <c r="H106" s="9" t="s">
        <v>778</v>
      </c>
      <c r="I106" s="21" t="s">
        <v>763</v>
      </c>
      <c r="J106" s="21" t="s">
        <v>928</v>
      </c>
      <c r="K106" s="21" t="s">
        <v>369</v>
      </c>
      <c r="L106" s="21" t="s">
        <v>226</v>
      </c>
      <c r="M106" s="21" t="s">
        <v>15</v>
      </c>
      <c r="N106" s="21" t="s">
        <v>382</v>
      </c>
      <c r="O106" s="21" t="s">
        <v>19</v>
      </c>
      <c r="P106" s="21" t="s">
        <v>231</v>
      </c>
    </row>
    <row r="107" spans="1:16" x14ac:dyDescent="0.3">
      <c r="A107" s="22" t="s">
        <v>932</v>
      </c>
      <c r="B107" s="9" t="s">
        <v>716</v>
      </c>
      <c r="C107" s="9" t="s">
        <v>721</v>
      </c>
      <c r="D107" s="21" t="s">
        <v>633</v>
      </c>
      <c r="E107" s="21" t="s">
        <v>192</v>
      </c>
      <c r="F107" s="21" t="s">
        <v>930</v>
      </c>
      <c r="G107" s="21" t="s">
        <v>178</v>
      </c>
      <c r="H107" s="21" t="s">
        <v>284</v>
      </c>
      <c r="I107" s="9" t="s">
        <v>931</v>
      </c>
      <c r="J107" s="9" t="s">
        <v>775</v>
      </c>
      <c r="K107" s="9" t="s">
        <v>430</v>
      </c>
      <c r="L107" s="21" t="s">
        <v>269</v>
      </c>
      <c r="M107" s="21" t="s">
        <v>231</v>
      </c>
      <c r="N107" s="21" t="s">
        <v>278</v>
      </c>
      <c r="O107" s="21" t="s">
        <v>122</v>
      </c>
      <c r="P107" s="21" t="s">
        <v>15</v>
      </c>
    </row>
    <row r="108" spans="1:16" x14ac:dyDescent="0.3">
      <c r="A108" s="21" t="s">
        <v>938</v>
      </c>
      <c r="B108" s="21" t="s">
        <v>577</v>
      </c>
      <c r="C108" s="21" t="s">
        <v>576</v>
      </c>
      <c r="D108" s="9" t="s">
        <v>933</v>
      </c>
      <c r="E108" s="9" t="s">
        <v>934</v>
      </c>
      <c r="F108" s="9" t="s">
        <v>692</v>
      </c>
      <c r="G108" s="9" t="s">
        <v>935</v>
      </c>
      <c r="H108" s="9" t="s">
        <v>936</v>
      </c>
      <c r="I108" s="21" t="s">
        <v>502</v>
      </c>
      <c r="J108" s="21" t="s">
        <v>217</v>
      </c>
      <c r="K108" s="21" t="s">
        <v>241</v>
      </c>
      <c r="L108" s="21" t="s">
        <v>937</v>
      </c>
      <c r="M108" s="21" t="s">
        <v>14</v>
      </c>
      <c r="N108" s="21" t="s">
        <v>16</v>
      </c>
      <c r="O108" s="21" t="s">
        <v>18</v>
      </c>
      <c r="P108" s="21" t="s">
        <v>16</v>
      </c>
    </row>
    <row r="109" spans="1:16" x14ac:dyDescent="0.3">
      <c r="A109" s="22" t="s">
        <v>941</v>
      </c>
      <c r="B109" s="9" t="s">
        <v>939</v>
      </c>
      <c r="C109" s="9" t="s">
        <v>692</v>
      </c>
      <c r="D109" s="9" t="s">
        <v>940</v>
      </c>
      <c r="E109" s="9" t="s">
        <v>762</v>
      </c>
      <c r="F109" s="9" t="s">
        <v>611</v>
      </c>
      <c r="G109" s="9" t="s">
        <v>611</v>
      </c>
      <c r="H109" s="21" t="s">
        <v>357</v>
      </c>
      <c r="I109" s="21" t="s">
        <v>373</v>
      </c>
      <c r="J109" s="21" t="s">
        <v>396</v>
      </c>
      <c r="K109" s="21" t="s">
        <v>576</v>
      </c>
      <c r="L109" s="21" t="s">
        <v>829</v>
      </c>
      <c r="M109" s="21" t="s">
        <v>16</v>
      </c>
      <c r="N109" s="21" t="s">
        <v>13</v>
      </c>
      <c r="O109" s="21" t="s">
        <v>314</v>
      </c>
      <c r="P109" s="21" t="s">
        <v>15</v>
      </c>
    </row>
    <row r="110" spans="1:16" x14ac:dyDescent="0.3">
      <c r="A110" s="22" t="s">
        <v>946</v>
      </c>
      <c r="B110" s="9" t="s">
        <v>942</v>
      </c>
      <c r="C110" s="9" t="s">
        <v>943</v>
      </c>
      <c r="D110" s="9" t="s">
        <v>882</v>
      </c>
      <c r="E110" s="9" t="s">
        <v>944</v>
      </c>
      <c r="F110" s="9" t="s">
        <v>652</v>
      </c>
      <c r="G110" s="21" t="s">
        <v>509</v>
      </c>
      <c r="H110" s="21" t="s">
        <v>584</v>
      </c>
      <c r="I110" s="21" t="s">
        <v>945</v>
      </c>
      <c r="J110" s="21" t="s">
        <v>536</v>
      </c>
      <c r="K110" s="21" t="s">
        <v>170</v>
      </c>
      <c r="L110" s="8" t="s">
        <v>796</v>
      </c>
      <c r="M110" s="21" t="s">
        <v>213</v>
      </c>
      <c r="N110" s="21" t="s">
        <v>14</v>
      </c>
      <c r="O110" s="21" t="s">
        <v>21</v>
      </c>
      <c r="P110" s="21" t="s">
        <v>21</v>
      </c>
    </row>
    <row r="111" spans="1:16" x14ac:dyDescent="0.3">
      <c r="A111" s="21" t="s">
        <v>950</v>
      </c>
      <c r="B111" s="21" t="s">
        <v>947</v>
      </c>
      <c r="C111" s="21" t="s">
        <v>343</v>
      </c>
      <c r="D111" s="21" t="s">
        <v>188</v>
      </c>
      <c r="E111" s="21" t="s">
        <v>948</v>
      </c>
      <c r="F111" s="21" t="s">
        <v>185</v>
      </c>
      <c r="G111" s="21" t="s">
        <v>949</v>
      </c>
      <c r="H111" s="9" t="s">
        <v>706</v>
      </c>
      <c r="I111" s="21" t="s">
        <v>894</v>
      </c>
      <c r="J111" s="21" t="s">
        <v>686</v>
      </c>
      <c r="K111" s="21" t="s">
        <v>308</v>
      </c>
      <c r="L111" s="21" t="s">
        <v>286</v>
      </c>
      <c r="M111" s="21" t="s">
        <v>382</v>
      </c>
      <c r="N111" s="21" t="s">
        <v>16</v>
      </c>
      <c r="O111" s="21" t="s">
        <v>16</v>
      </c>
      <c r="P111" s="21" t="s">
        <v>382</v>
      </c>
    </row>
    <row r="112" spans="1:16" x14ac:dyDescent="0.3">
      <c r="A112" s="22" t="s">
        <v>954</v>
      </c>
      <c r="B112" s="9" t="s">
        <v>807</v>
      </c>
      <c r="C112" s="9" t="s">
        <v>462</v>
      </c>
      <c r="D112" s="9" t="s">
        <v>951</v>
      </c>
      <c r="E112" s="9" t="s">
        <v>291</v>
      </c>
      <c r="F112" s="9" t="s">
        <v>291</v>
      </c>
      <c r="G112" s="9" t="s">
        <v>952</v>
      </c>
      <c r="H112" s="9" t="s">
        <v>352</v>
      </c>
      <c r="I112" s="21" t="s">
        <v>633</v>
      </c>
      <c r="J112" s="21" t="s">
        <v>659</v>
      </c>
      <c r="K112" s="8" t="s">
        <v>953</v>
      </c>
      <c r="L112" s="8" t="s">
        <v>450</v>
      </c>
      <c r="M112" s="21" t="s">
        <v>16</v>
      </c>
      <c r="N112" s="21" t="s">
        <v>20</v>
      </c>
      <c r="O112" s="21" t="s">
        <v>318</v>
      </c>
      <c r="P112" s="21" t="s">
        <v>122</v>
      </c>
    </row>
    <row r="113" spans="1:16" x14ac:dyDescent="0.3">
      <c r="A113" s="23" t="s">
        <v>957</v>
      </c>
      <c r="B113" s="8" t="s">
        <v>955</v>
      </c>
      <c r="C113" s="21" t="s">
        <v>838</v>
      </c>
      <c r="D113" s="9" t="s">
        <v>660</v>
      </c>
      <c r="E113" s="21" t="s">
        <v>226</v>
      </c>
      <c r="F113" s="21" t="s">
        <v>889</v>
      </c>
      <c r="G113" s="9" t="s">
        <v>414</v>
      </c>
      <c r="H113" s="9" t="s">
        <v>200</v>
      </c>
      <c r="I113" s="21" t="s">
        <v>956</v>
      </c>
      <c r="J113" s="9" t="s">
        <v>762</v>
      </c>
      <c r="K113" s="9" t="s">
        <v>305</v>
      </c>
      <c r="L113" s="9" t="s">
        <v>500</v>
      </c>
      <c r="M113" s="21" t="s">
        <v>15</v>
      </c>
      <c r="N113" s="21" t="s">
        <v>16</v>
      </c>
      <c r="O113" s="21" t="s">
        <v>231</v>
      </c>
      <c r="P113" s="21" t="s">
        <v>470</v>
      </c>
    </row>
    <row r="114" spans="1:16" x14ac:dyDescent="0.3">
      <c r="A114" s="22" t="s">
        <v>965</v>
      </c>
      <c r="B114" s="9" t="s">
        <v>936</v>
      </c>
      <c r="C114" s="9" t="s">
        <v>958</v>
      </c>
      <c r="D114" s="9" t="s">
        <v>959</v>
      </c>
      <c r="E114" s="9" t="s">
        <v>960</v>
      </c>
      <c r="F114" s="9" t="s">
        <v>961</v>
      </c>
      <c r="G114" s="9" t="s">
        <v>962</v>
      </c>
      <c r="H114" s="9" t="s">
        <v>962</v>
      </c>
      <c r="I114" s="9" t="s">
        <v>963</v>
      </c>
      <c r="J114" s="9" t="s">
        <v>936</v>
      </c>
      <c r="K114" s="9" t="s">
        <v>772</v>
      </c>
      <c r="L114" s="9" t="s">
        <v>964</v>
      </c>
      <c r="M114" s="21" t="s">
        <v>124</v>
      </c>
      <c r="N114" s="21" t="s">
        <v>213</v>
      </c>
      <c r="O114" s="21" t="s">
        <v>20</v>
      </c>
      <c r="P114" s="21" t="s">
        <v>124</v>
      </c>
    </row>
    <row r="115" spans="1:16" x14ac:dyDescent="0.3">
      <c r="A115" s="22" t="s">
        <v>969</v>
      </c>
      <c r="B115" s="9" t="s">
        <v>596</v>
      </c>
      <c r="C115" s="9" t="s">
        <v>352</v>
      </c>
      <c r="D115" s="21" t="s">
        <v>531</v>
      </c>
      <c r="E115" s="21" t="s">
        <v>966</v>
      </c>
      <c r="F115" s="21" t="s">
        <v>797</v>
      </c>
      <c r="G115" s="21" t="s">
        <v>967</v>
      </c>
      <c r="H115" s="21" t="s">
        <v>374</v>
      </c>
      <c r="I115" s="21" t="s">
        <v>968</v>
      </c>
      <c r="J115" s="9" t="s">
        <v>933</v>
      </c>
      <c r="K115" s="9" t="s">
        <v>904</v>
      </c>
      <c r="L115" s="9" t="s">
        <v>698</v>
      </c>
      <c r="M115" s="21" t="s">
        <v>314</v>
      </c>
      <c r="N115" s="21" t="s">
        <v>231</v>
      </c>
      <c r="O115" s="21" t="s">
        <v>19</v>
      </c>
      <c r="P115" s="21" t="s">
        <v>213</v>
      </c>
    </row>
    <row r="116" spans="1:16" x14ac:dyDescent="0.3">
      <c r="A116" s="21" t="s">
        <v>973</v>
      </c>
      <c r="B116" s="21" t="s">
        <v>242</v>
      </c>
      <c r="C116" s="21" t="s">
        <v>371</v>
      </c>
      <c r="D116" s="9" t="s">
        <v>970</v>
      </c>
      <c r="E116" s="21" t="s">
        <v>707</v>
      </c>
      <c r="F116" s="21" t="s">
        <v>260</v>
      </c>
      <c r="G116" s="21" t="s">
        <v>554</v>
      </c>
      <c r="H116" s="8" t="s">
        <v>971</v>
      </c>
      <c r="I116" s="21" t="s">
        <v>251</v>
      </c>
      <c r="J116" s="21" t="s">
        <v>701</v>
      </c>
      <c r="K116" s="21" t="s">
        <v>972</v>
      </c>
      <c r="L116" s="9" t="s">
        <v>958</v>
      </c>
      <c r="M116" s="21" t="s">
        <v>19</v>
      </c>
      <c r="N116" s="21" t="s">
        <v>231</v>
      </c>
      <c r="O116" s="21" t="s">
        <v>16</v>
      </c>
      <c r="P116" s="21" t="s">
        <v>231</v>
      </c>
    </row>
    <row r="117" spans="1:16" x14ac:dyDescent="0.3">
      <c r="A117" s="22" t="s">
        <v>981</v>
      </c>
      <c r="B117" s="9" t="s">
        <v>876</v>
      </c>
      <c r="C117" s="9" t="s">
        <v>900</v>
      </c>
      <c r="D117" s="21" t="s">
        <v>974</v>
      </c>
      <c r="E117" s="21" t="s">
        <v>975</v>
      </c>
      <c r="F117" s="21" t="s">
        <v>976</v>
      </c>
      <c r="G117" s="21" t="s">
        <v>977</v>
      </c>
      <c r="H117" s="21" t="s">
        <v>978</v>
      </c>
      <c r="I117" s="21" t="s">
        <v>499</v>
      </c>
      <c r="J117" s="21" t="s">
        <v>979</v>
      </c>
      <c r="K117" s="21" t="s">
        <v>296</v>
      </c>
      <c r="L117" s="21" t="s">
        <v>980</v>
      </c>
      <c r="M117" s="21" t="s">
        <v>213</v>
      </c>
      <c r="N117" s="21" t="s">
        <v>230</v>
      </c>
      <c r="O117" s="21" t="s">
        <v>19</v>
      </c>
      <c r="P117" s="21" t="s">
        <v>21</v>
      </c>
    </row>
    <row r="118" spans="1:16" x14ac:dyDescent="0.3">
      <c r="A118" s="21" t="s">
        <v>153</v>
      </c>
      <c r="B118" s="21" t="s">
        <v>276</v>
      </c>
      <c r="C118" s="21" t="s">
        <v>982</v>
      </c>
      <c r="D118" s="21" t="s">
        <v>711</v>
      </c>
      <c r="E118" s="21" t="s">
        <v>983</v>
      </c>
      <c r="F118" s="21" t="s">
        <v>381</v>
      </c>
      <c r="G118" s="21" t="s">
        <v>984</v>
      </c>
      <c r="H118" s="21" t="s">
        <v>894</v>
      </c>
      <c r="I118" s="21" t="s">
        <v>985</v>
      </c>
      <c r="J118" s="21" t="s">
        <v>986</v>
      </c>
      <c r="K118" s="21" t="s">
        <v>987</v>
      </c>
      <c r="L118" s="21" t="s">
        <v>264</v>
      </c>
      <c r="M118" s="21" t="s">
        <v>14</v>
      </c>
      <c r="N118" s="21" t="s">
        <v>19</v>
      </c>
      <c r="O118" s="21" t="s">
        <v>14</v>
      </c>
      <c r="P118" s="21" t="s">
        <v>231</v>
      </c>
    </row>
    <row r="119" spans="1:16" x14ac:dyDescent="0.3">
      <c r="A119" s="22" t="s">
        <v>990</v>
      </c>
      <c r="B119" s="9" t="s">
        <v>775</v>
      </c>
      <c r="C119" s="9" t="s">
        <v>988</v>
      </c>
      <c r="D119" s="9" t="s">
        <v>960</v>
      </c>
      <c r="E119" s="9" t="s">
        <v>989</v>
      </c>
      <c r="F119" s="9" t="s">
        <v>962</v>
      </c>
      <c r="G119" s="9" t="s">
        <v>936</v>
      </c>
      <c r="H119" s="9" t="s">
        <v>352</v>
      </c>
      <c r="I119" s="21" t="s">
        <v>201</v>
      </c>
      <c r="J119" s="21" t="s">
        <v>548</v>
      </c>
      <c r="K119" s="21" t="s">
        <v>597</v>
      </c>
      <c r="L119" s="21" t="s">
        <v>431</v>
      </c>
      <c r="M119" s="21" t="s">
        <v>124</v>
      </c>
      <c r="N119" s="21" t="s">
        <v>266</v>
      </c>
      <c r="O119" s="21" t="s">
        <v>13</v>
      </c>
      <c r="P119" s="21" t="s">
        <v>213</v>
      </c>
    </row>
    <row r="120" spans="1:16" x14ac:dyDescent="0.3">
      <c r="A120" s="22" t="s">
        <v>994</v>
      </c>
      <c r="B120" s="9" t="s">
        <v>751</v>
      </c>
      <c r="C120" s="9" t="s">
        <v>741</v>
      </c>
      <c r="D120" s="9" t="s">
        <v>991</v>
      </c>
      <c r="E120" s="9" t="s">
        <v>992</v>
      </c>
      <c r="F120" s="9" t="s">
        <v>436</v>
      </c>
      <c r="G120" s="9" t="s">
        <v>352</v>
      </c>
      <c r="H120" s="21" t="s">
        <v>285</v>
      </c>
      <c r="I120" s="21" t="s">
        <v>578</v>
      </c>
      <c r="J120" s="21" t="s">
        <v>202</v>
      </c>
      <c r="K120" s="9" t="s">
        <v>229</v>
      </c>
      <c r="L120" s="9" t="s">
        <v>993</v>
      </c>
      <c r="M120" s="21" t="s">
        <v>13</v>
      </c>
      <c r="N120" s="21" t="s">
        <v>19</v>
      </c>
      <c r="O120" s="21" t="s">
        <v>231</v>
      </c>
      <c r="P120" s="21" t="s">
        <v>124</v>
      </c>
    </row>
    <row r="121" spans="1:16" x14ac:dyDescent="0.3">
      <c r="A121" s="22" t="s">
        <v>995</v>
      </c>
      <c r="B121" s="9" t="s">
        <v>413</v>
      </c>
      <c r="C121" s="9" t="s">
        <v>900</v>
      </c>
      <c r="D121" s="21" t="s">
        <v>974</v>
      </c>
      <c r="E121" s="21" t="s">
        <v>975</v>
      </c>
      <c r="F121" s="21" t="s">
        <v>976</v>
      </c>
      <c r="G121" s="21" t="s">
        <v>977</v>
      </c>
      <c r="H121" s="21" t="s">
        <v>978</v>
      </c>
      <c r="I121" s="21" t="s">
        <v>499</v>
      </c>
      <c r="J121" s="21" t="s">
        <v>979</v>
      </c>
      <c r="K121" s="21" t="s">
        <v>296</v>
      </c>
      <c r="L121" s="21" t="s">
        <v>980</v>
      </c>
      <c r="M121" s="21" t="s">
        <v>213</v>
      </c>
      <c r="N121" s="21" t="s">
        <v>230</v>
      </c>
      <c r="O121" s="21" t="s">
        <v>19</v>
      </c>
      <c r="P121" s="21" t="s">
        <v>21</v>
      </c>
    </row>
    <row r="122" spans="1:16" x14ac:dyDescent="0.3">
      <c r="A122" s="21" t="s">
        <v>997</v>
      </c>
      <c r="B122" s="21" t="s">
        <v>465</v>
      </c>
      <c r="C122" s="21" t="s">
        <v>178</v>
      </c>
      <c r="D122" s="21" t="s">
        <v>447</v>
      </c>
      <c r="E122" s="21" t="s">
        <v>397</v>
      </c>
      <c r="F122" s="9" t="s">
        <v>895</v>
      </c>
      <c r="G122" s="9" t="s">
        <v>413</v>
      </c>
      <c r="H122" s="9" t="s">
        <v>952</v>
      </c>
      <c r="I122" s="9" t="s">
        <v>718</v>
      </c>
      <c r="J122" s="9" t="s">
        <v>436</v>
      </c>
      <c r="K122" s="21" t="s">
        <v>177</v>
      </c>
      <c r="L122" s="21" t="s">
        <v>996</v>
      </c>
      <c r="M122" s="21" t="s">
        <v>278</v>
      </c>
      <c r="N122" s="21" t="s">
        <v>266</v>
      </c>
      <c r="O122" s="21" t="s">
        <v>382</v>
      </c>
      <c r="P122" s="21" t="s">
        <v>382</v>
      </c>
    </row>
    <row r="123" spans="1:16" x14ac:dyDescent="0.3">
      <c r="A123" s="22" t="s">
        <v>1002</v>
      </c>
      <c r="B123" s="9" t="s">
        <v>647</v>
      </c>
      <c r="C123" s="9" t="s">
        <v>939</v>
      </c>
      <c r="D123" s="9" t="s">
        <v>305</v>
      </c>
      <c r="E123" s="9" t="s">
        <v>998</v>
      </c>
      <c r="F123" s="9" t="s">
        <v>650</v>
      </c>
      <c r="G123" s="9" t="s">
        <v>999</v>
      </c>
      <c r="H123" s="9" t="s">
        <v>809</v>
      </c>
      <c r="I123" s="21" t="s">
        <v>680</v>
      </c>
      <c r="J123" s="21" t="s">
        <v>1000</v>
      </c>
      <c r="K123" s="21" t="s">
        <v>1001</v>
      </c>
      <c r="L123" s="21" t="s">
        <v>326</v>
      </c>
      <c r="M123" s="21" t="s">
        <v>15</v>
      </c>
      <c r="N123" s="21" t="s">
        <v>382</v>
      </c>
      <c r="O123" s="21" t="s">
        <v>124</v>
      </c>
      <c r="P123" s="21" t="s">
        <v>16</v>
      </c>
    </row>
    <row r="124" spans="1:16" x14ac:dyDescent="0.3">
      <c r="A124" s="22" t="s">
        <v>1008</v>
      </c>
      <c r="B124" s="9" t="s">
        <v>1003</v>
      </c>
      <c r="C124" s="9" t="s">
        <v>1004</v>
      </c>
      <c r="D124" s="9" t="s">
        <v>699</v>
      </c>
      <c r="E124" s="9" t="s">
        <v>698</v>
      </c>
      <c r="F124" s="9" t="s">
        <v>1005</v>
      </c>
      <c r="G124" s="9" t="s">
        <v>799</v>
      </c>
      <c r="H124" s="9" t="s">
        <v>661</v>
      </c>
      <c r="I124" s="9" t="s">
        <v>1006</v>
      </c>
      <c r="J124" s="9" t="s">
        <v>802</v>
      </c>
      <c r="K124" s="9" t="s">
        <v>406</v>
      </c>
      <c r="L124" s="21" t="s">
        <v>1007</v>
      </c>
      <c r="M124" s="21" t="s">
        <v>231</v>
      </c>
      <c r="N124" s="21" t="s">
        <v>21</v>
      </c>
      <c r="O124" s="21" t="s">
        <v>14</v>
      </c>
      <c r="P124" s="21" t="s">
        <v>230</v>
      </c>
    </row>
    <row r="125" spans="1:16" x14ac:dyDescent="0.3">
      <c r="A125" s="21" t="s">
        <v>1012</v>
      </c>
      <c r="B125" s="21" t="s">
        <v>1009</v>
      </c>
      <c r="C125" s="21" t="s">
        <v>816</v>
      </c>
      <c r="D125" s="21" t="s">
        <v>344</v>
      </c>
      <c r="E125" s="21" t="s">
        <v>569</v>
      </c>
      <c r="F125" s="21" t="s">
        <v>363</v>
      </c>
      <c r="G125" s="9" t="s">
        <v>1010</v>
      </c>
      <c r="H125" s="9" t="s">
        <v>741</v>
      </c>
      <c r="I125" s="9" t="s">
        <v>1011</v>
      </c>
      <c r="J125" s="9" t="s">
        <v>1011</v>
      </c>
      <c r="K125" s="9" t="s">
        <v>909</v>
      </c>
      <c r="L125" s="9" t="s">
        <v>413</v>
      </c>
      <c r="M125" s="21" t="s">
        <v>231</v>
      </c>
      <c r="N125" s="21" t="s">
        <v>16</v>
      </c>
      <c r="O125" s="21" t="s">
        <v>213</v>
      </c>
      <c r="P125" s="21" t="s">
        <v>230</v>
      </c>
    </row>
    <row r="126" spans="1:16" x14ac:dyDescent="0.3">
      <c r="A126" s="21" t="s">
        <v>1018</v>
      </c>
      <c r="B126" s="21" t="s">
        <v>1013</v>
      </c>
      <c r="C126" s="21" t="s">
        <v>1014</v>
      </c>
      <c r="D126" s="21" t="s">
        <v>581</v>
      </c>
      <c r="E126" s="21" t="s">
        <v>894</v>
      </c>
      <c r="F126" s="21" t="s">
        <v>704</v>
      </c>
      <c r="G126" s="9" t="s">
        <v>1015</v>
      </c>
      <c r="H126" s="9" t="s">
        <v>246</v>
      </c>
      <c r="I126" s="9" t="s">
        <v>755</v>
      </c>
      <c r="J126" s="9" t="s">
        <v>1016</v>
      </c>
      <c r="K126" s="9" t="s">
        <v>959</v>
      </c>
      <c r="L126" s="9" t="s">
        <v>1017</v>
      </c>
      <c r="M126" s="21" t="s">
        <v>231</v>
      </c>
      <c r="N126" s="21" t="s">
        <v>231</v>
      </c>
      <c r="O126" s="21" t="s">
        <v>231</v>
      </c>
      <c r="P126" s="21" t="s">
        <v>21</v>
      </c>
    </row>
    <row r="127" spans="1:16" x14ac:dyDescent="0.3">
      <c r="A127" s="21" t="s">
        <v>154</v>
      </c>
      <c r="B127" s="21" t="s">
        <v>1019</v>
      </c>
      <c r="C127" s="21" t="s">
        <v>308</v>
      </c>
      <c r="D127" s="21" t="s">
        <v>735</v>
      </c>
      <c r="E127" s="21" t="s">
        <v>1020</v>
      </c>
      <c r="F127" s="21" t="s">
        <v>735</v>
      </c>
      <c r="G127" s="21" t="s">
        <v>1021</v>
      </c>
      <c r="H127" s="21" t="s">
        <v>302</v>
      </c>
      <c r="I127" s="21" t="s">
        <v>1022</v>
      </c>
      <c r="J127" s="21" t="s">
        <v>222</v>
      </c>
      <c r="K127" s="21" t="s">
        <v>402</v>
      </c>
      <c r="L127" s="21" t="s">
        <v>1023</v>
      </c>
      <c r="M127" s="21" t="s">
        <v>124</v>
      </c>
      <c r="N127" s="21" t="s">
        <v>230</v>
      </c>
      <c r="O127" s="21" t="s">
        <v>231</v>
      </c>
      <c r="P127" s="21" t="s">
        <v>278</v>
      </c>
    </row>
    <row r="128" spans="1:16" x14ac:dyDescent="0.3">
      <c r="A128" s="22" t="s">
        <v>1025</v>
      </c>
      <c r="B128" s="9" t="s">
        <v>647</v>
      </c>
      <c r="C128" s="9" t="s">
        <v>772</v>
      </c>
      <c r="D128" s="21" t="s">
        <v>683</v>
      </c>
      <c r="E128" s="21" t="s">
        <v>294</v>
      </c>
      <c r="F128" s="21" t="s">
        <v>856</v>
      </c>
      <c r="G128" s="21" t="s">
        <v>322</v>
      </c>
      <c r="H128" s="21" t="s">
        <v>273</v>
      </c>
      <c r="I128" s="9" t="s">
        <v>583</v>
      </c>
      <c r="J128" s="9" t="s">
        <v>900</v>
      </c>
      <c r="K128" s="21" t="s">
        <v>1024</v>
      </c>
      <c r="L128" s="21" t="s">
        <v>371</v>
      </c>
      <c r="M128" s="21" t="s">
        <v>231</v>
      </c>
      <c r="N128" s="21" t="s">
        <v>16</v>
      </c>
      <c r="O128" s="21" t="s">
        <v>21</v>
      </c>
      <c r="P128" s="21" t="s">
        <v>213</v>
      </c>
    </row>
    <row r="129" spans="1:16" x14ac:dyDescent="0.3">
      <c r="A129" s="22" t="s">
        <v>1026</v>
      </c>
      <c r="B129" s="9" t="s">
        <v>697</v>
      </c>
      <c r="C129" s="9" t="s">
        <v>745</v>
      </c>
      <c r="D129" s="9" t="s">
        <v>757</v>
      </c>
      <c r="E129" s="21" t="s">
        <v>881</v>
      </c>
      <c r="F129" s="9" t="s">
        <v>934</v>
      </c>
      <c r="G129" s="9" t="s">
        <v>183</v>
      </c>
      <c r="H129" s="9" t="s">
        <v>1003</v>
      </c>
      <c r="I129" s="9" t="s">
        <v>1004</v>
      </c>
      <c r="J129" s="9" t="s">
        <v>699</v>
      </c>
      <c r="K129" s="9" t="s">
        <v>698</v>
      </c>
      <c r="L129" s="9" t="s">
        <v>1005</v>
      </c>
      <c r="M129" s="21" t="s">
        <v>16</v>
      </c>
      <c r="N129" s="21" t="s">
        <v>16</v>
      </c>
      <c r="O129" s="21" t="s">
        <v>124</v>
      </c>
      <c r="P129" s="21" t="s">
        <v>19</v>
      </c>
    </row>
    <row r="130" spans="1:16" x14ac:dyDescent="0.3">
      <c r="A130" s="21" t="s">
        <v>1030</v>
      </c>
      <c r="B130" s="21" t="s">
        <v>615</v>
      </c>
      <c r="C130" s="21" t="s">
        <v>381</v>
      </c>
      <c r="D130" s="21" t="s">
        <v>657</v>
      </c>
      <c r="E130" s="21" t="s">
        <v>1001</v>
      </c>
      <c r="F130" s="21" t="s">
        <v>1027</v>
      </c>
      <c r="G130" s="21" t="s">
        <v>690</v>
      </c>
      <c r="H130" s="21" t="s">
        <v>390</v>
      </c>
      <c r="I130" s="21" t="s">
        <v>984</v>
      </c>
      <c r="J130" s="21" t="s">
        <v>1028</v>
      </c>
      <c r="K130" s="21" t="s">
        <v>1029</v>
      </c>
      <c r="L130" s="9" t="s">
        <v>583</v>
      </c>
      <c r="M130" s="21" t="s">
        <v>18</v>
      </c>
      <c r="N130" s="21" t="s">
        <v>124</v>
      </c>
      <c r="O130" s="21" t="s">
        <v>124</v>
      </c>
      <c r="P130" s="21" t="s">
        <v>16</v>
      </c>
    </row>
    <row r="131" spans="1:16" x14ac:dyDescent="0.3">
      <c r="A131" s="21" t="s">
        <v>1032</v>
      </c>
      <c r="B131" s="21" t="s">
        <v>813</v>
      </c>
      <c r="C131" s="8" t="s">
        <v>796</v>
      </c>
      <c r="D131" s="21" t="s">
        <v>335</v>
      </c>
      <c r="E131" s="21" t="s">
        <v>226</v>
      </c>
      <c r="F131" s="21" t="s">
        <v>937</v>
      </c>
      <c r="G131" s="21" t="s">
        <v>1031</v>
      </c>
      <c r="H131" s="9" t="s">
        <v>647</v>
      </c>
      <c r="I131" s="9" t="s">
        <v>757</v>
      </c>
      <c r="J131" s="21" t="s">
        <v>548</v>
      </c>
      <c r="K131" s="21" t="s">
        <v>264</v>
      </c>
      <c r="L131" s="21" t="s">
        <v>264</v>
      </c>
      <c r="M131" s="21" t="s">
        <v>18</v>
      </c>
      <c r="N131" s="21" t="s">
        <v>13</v>
      </c>
      <c r="O131" s="21" t="s">
        <v>124</v>
      </c>
      <c r="P131" s="21" t="s">
        <v>124</v>
      </c>
    </row>
    <row r="132" spans="1:16" x14ac:dyDescent="0.3">
      <c r="A132" s="21" t="s">
        <v>1036</v>
      </c>
      <c r="B132" s="21" t="s">
        <v>570</v>
      </c>
      <c r="C132" s="21" t="s">
        <v>465</v>
      </c>
      <c r="D132" s="21" t="s">
        <v>856</v>
      </c>
      <c r="E132" s="21" t="s">
        <v>683</v>
      </c>
      <c r="F132" s="21" t="s">
        <v>371</v>
      </c>
      <c r="G132" s="21" t="s">
        <v>1033</v>
      </c>
      <c r="H132" s="21" t="s">
        <v>1034</v>
      </c>
      <c r="I132" s="9" t="s">
        <v>757</v>
      </c>
      <c r="J132" s="21" t="s">
        <v>508</v>
      </c>
      <c r="K132" s="21" t="s">
        <v>1035</v>
      </c>
      <c r="L132" s="9" t="s">
        <v>801</v>
      </c>
      <c r="M132" s="21" t="s">
        <v>16</v>
      </c>
      <c r="N132" s="21" t="s">
        <v>21</v>
      </c>
      <c r="O132" s="21" t="s">
        <v>231</v>
      </c>
      <c r="P132" s="21" t="s">
        <v>231</v>
      </c>
    </row>
    <row r="133" spans="1:16" x14ac:dyDescent="0.3">
      <c r="A133" s="21" t="s">
        <v>1039</v>
      </c>
      <c r="B133" s="21" t="s">
        <v>466</v>
      </c>
      <c r="C133" s="21" t="s">
        <v>601</v>
      </c>
      <c r="D133" s="9" t="s">
        <v>786</v>
      </c>
      <c r="E133" s="9" t="s">
        <v>772</v>
      </c>
      <c r="F133" s="9" t="s">
        <v>1037</v>
      </c>
      <c r="G133" s="21" t="s">
        <v>683</v>
      </c>
      <c r="H133" s="21" t="s">
        <v>294</v>
      </c>
      <c r="I133" s="21" t="s">
        <v>1028</v>
      </c>
      <c r="J133" s="21" t="s">
        <v>325</v>
      </c>
      <c r="K133" s="21" t="s">
        <v>1038</v>
      </c>
      <c r="L133" s="21" t="s">
        <v>301</v>
      </c>
      <c r="M133" s="21" t="s">
        <v>314</v>
      </c>
      <c r="N133" s="21" t="s">
        <v>124</v>
      </c>
      <c r="O133" s="21" t="s">
        <v>124</v>
      </c>
      <c r="P133" s="21" t="s">
        <v>21</v>
      </c>
    </row>
    <row r="134" spans="1:16" x14ac:dyDescent="0.3">
      <c r="A134" s="23" t="s">
        <v>1046</v>
      </c>
      <c r="B134" s="8" t="s">
        <v>1040</v>
      </c>
      <c r="C134" s="21" t="s">
        <v>1041</v>
      </c>
      <c r="D134" s="21" t="s">
        <v>1042</v>
      </c>
      <c r="E134" s="21" t="s">
        <v>259</v>
      </c>
      <c r="F134" s="21" t="s">
        <v>1043</v>
      </c>
      <c r="G134" s="21" t="s">
        <v>1044</v>
      </c>
      <c r="H134" s="21" t="s">
        <v>1045</v>
      </c>
      <c r="I134" s="21" t="s">
        <v>603</v>
      </c>
      <c r="J134" s="21" t="s">
        <v>404</v>
      </c>
      <c r="K134" s="9" t="s">
        <v>583</v>
      </c>
      <c r="L134" s="21" t="s">
        <v>728</v>
      </c>
      <c r="M134" s="21" t="s">
        <v>124</v>
      </c>
      <c r="N134" s="21" t="s">
        <v>314</v>
      </c>
      <c r="O134" s="21" t="s">
        <v>16</v>
      </c>
      <c r="P134" s="21" t="s">
        <v>13</v>
      </c>
    </row>
    <row r="135" spans="1:16" x14ac:dyDescent="0.3">
      <c r="A135" s="22" t="s">
        <v>1049</v>
      </c>
      <c r="B135" s="9" t="s">
        <v>186</v>
      </c>
      <c r="C135" s="21" t="s">
        <v>177</v>
      </c>
      <c r="D135" s="21" t="s">
        <v>264</v>
      </c>
      <c r="E135" s="9" t="s">
        <v>313</v>
      </c>
      <c r="F135" s="9" t="s">
        <v>1047</v>
      </c>
      <c r="G135" s="21" t="s">
        <v>831</v>
      </c>
      <c r="H135" s="9" t="s">
        <v>200</v>
      </c>
      <c r="I135" s="9" t="s">
        <v>229</v>
      </c>
      <c r="J135" s="9" t="s">
        <v>762</v>
      </c>
      <c r="K135" s="9" t="s">
        <v>1048</v>
      </c>
      <c r="L135" s="9" t="s">
        <v>219</v>
      </c>
      <c r="M135" s="21" t="s">
        <v>231</v>
      </c>
      <c r="N135" s="21" t="s">
        <v>16</v>
      </c>
      <c r="O135" s="21" t="s">
        <v>278</v>
      </c>
      <c r="P135" s="21" t="s">
        <v>21</v>
      </c>
    </row>
    <row r="136" spans="1:16" x14ac:dyDescent="0.3">
      <c r="A136" s="21" t="s">
        <v>1053</v>
      </c>
      <c r="B136" s="21" t="s">
        <v>1050</v>
      </c>
      <c r="C136" s="21" t="s">
        <v>1051</v>
      </c>
      <c r="D136" s="21" t="s">
        <v>987</v>
      </c>
      <c r="E136" s="21" t="s">
        <v>968</v>
      </c>
      <c r="F136" s="21" t="s">
        <v>1052</v>
      </c>
      <c r="G136" s="9" t="s">
        <v>651</v>
      </c>
      <c r="H136" s="9" t="s">
        <v>741</v>
      </c>
      <c r="I136" s="9" t="s">
        <v>741</v>
      </c>
      <c r="J136" s="9" t="s">
        <v>741</v>
      </c>
      <c r="K136" s="9" t="s">
        <v>366</v>
      </c>
      <c r="L136" s="9" t="s">
        <v>1015</v>
      </c>
      <c r="M136" s="21" t="s">
        <v>16</v>
      </c>
      <c r="N136" s="21" t="s">
        <v>16</v>
      </c>
      <c r="O136" s="21" t="s">
        <v>124</v>
      </c>
      <c r="P136" s="21" t="s">
        <v>16</v>
      </c>
    </row>
    <row r="137" spans="1:16" x14ac:dyDescent="0.3">
      <c r="A137" s="21" t="s">
        <v>1058</v>
      </c>
      <c r="B137" s="21" t="s">
        <v>251</v>
      </c>
      <c r="C137" s="21" t="s">
        <v>656</v>
      </c>
      <c r="D137" s="21" t="s">
        <v>1054</v>
      </c>
      <c r="E137" s="21" t="s">
        <v>1055</v>
      </c>
      <c r="F137" s="21" t="s">
        <v>216</v>
      </c>
      <c r="G137" s="21" t="s">
        <v>735</v>
      </c>
      <c r="H137" s="21" t="s">
        <v>405</v>
      </c>
      <c r="I137" s="9" t="s">
        <v>1056</v>
      </c>
      <c r="J137" s="9" t="s">
        <v>1057</v>
      </c>
      <c r="K137" s="9" t="s">
        <v>611</v>
      </c>
      <c r="L137" s="9" t="s">
        <v>229</v>
      </c>
      <c r="M137" s="21" t="s">
        <v>231</v>
      </c>
      <c r="N137" s="21" t="s">
        <v>230</v>
      </c>
      <c r="O137" s="21" t="s">
        <v>21</v>
      </c>
      <c r="P137" s="21" t="s">
        <v>231</v>
      </c>
    </row>
    <row r="138" spans="1:16" x14ac:dyDescent="0.3">
      <c r="A138" s="22" t="s">
        <v>1059</v>
      </c>
      <c r="B138" s="9" t="s">
        <v>661</v>
      </c>
      <c r="C138" s="9" t="s">
        <v>696</v>
      </c>
      <c r="D138" s="9" t="s">
        <v>675</v>
      </c>
      <c r="E138" s="9" t="s">
        <v>253</v>
      </c>
      <c r="F138" s="9" t="s">
        <v>942</v>
      </c>
      <c r="G138" s="9" t="s">
        <v>952</v>
      </c>
      <c r="H138" s="9" t="s">
        <v>741</v>
      </c>
      <c r="I138" s="9" t="s">
        <v>340</v>
      </c>
      <c r="J138" s="9" t="s">
        <v>500</v>
      </c>
      <c r="K138" s="21" t="s">
        <v>502</v>
      </c>
      <c r="L138" s="21" t="s">
        <v>576</v>
      </c>
      <c r="M138" s="21" t="s">
        <v>21</v>
      </c>
      <c r="N138" s="21" t="s">
        <v>16</v>
      </c>
      <c r="O138" s="21" t="s">
        <v>278</v>
      </c>
      <c r="P138" s="21" t="s">
        <v>266</v>
      </c>
    </row>
    <row r="139" spans="1:16" x14ac:dyDescent="0.3">
      <c r="A139" s="22" t="s">
        <v>1062</v>
      </c>
      <c r="B139" s="9" t="s">
        <v>809</v>
      </c>
      <c r="C139" s="9" t="s">
        <v>1048</v>
      </c>
      <c r="D139" s="9" t="s">
        <v>245</v>
      </c>
      <c r="E139" s="9" t="s">
        <v>500</v>
      </c>
      <c r="F139" s="9" t="s">
        <v>1057</v>
      </c>
      <c r="G139" s="9" t="s">
        <v>350</v>
      </c>
      <c r="H139" s="9" t="s">
        <v>199</v>
      </c>
      <c r="I139" s="9" t="s">
        <v>1060</v>
      </c>
      <c r="J139" s="9" t="s">
        <v>455</v>
      </c>
      <c r="K139" s="9" t="s">
        <v>692</v>
      </c>
      <c r="L139" s="9" t="s">
        <v>1061</v>
      </c>
      <c r="M139" s="21" t="s">
        <v>19</v>
      </c>
      <c r="N139" s="21" t="s">
        <v>231</v>
      </c>
      <c r="O139" s="21" t="s">
        <v>21</v>
      </c>
      <c r="P139" s="21" t="s">
        <v>124</v>
      </c>
    </row>
    <row r="140" spans="1:16" x14ac:dyDescent="0.3">
      <c r="A140" s="22" t="s">
        <v>1063</v>
      </c>
      <c r="B140" s="9" t="s">
        <v>186</v>
      </c>
      <c r="C140" s="9" t="s">
        <v>186</v>
      </c>
      <c r="D140" s="9" t="s">
        <v>636</v>
      </c>
      <c r="E140" s="9" t="s">
        <v>456</v>
      </c>
      <c r="F140" s="9" t="s">
        <v>1047</v>
      </c>
      <c r="G140" s="9" t="s">
        <v>718</v>
      </c>
      <c r="H140" s="9" t="s">
        <v>692</v>
      </c>
      <c r="I140" s="9" t="s">
        <v>352</v>
      </c>
      <c r="J140" s="21" t="s">
        <v>924</v>
      </c>
      <c r="K140" s="9" t="s">
        <v>239</v>
      </c>
      <c r="L140" s="21" t="s">
        <v>477</v>
      </c>
      <c r="M140" s="21" t="s">
        <v>278</v>
      </c>
      <c r="N140" s="21" t="s">
        <v>21</v>
      </c>
      <c r="O140" s="21" t="s">
        <v>231</v>
      </c>
      <c r="P140" s="21" t="s">
        <v>14</v>
      </c>
    </row>
    <row r="141" spans="1:16" x14ac:dyDescent="0.3">
      <c r="A141" s="23" t="s">
        <v>1067</v>
      </c>
      <c r="B141" s="8" t="s">
        <v>1064</v>
      </c>
      <c r="C141" s="8" t="s">
        <v>528</v>
      </c>
      <c r="D141" s="21" t="s">
        <v>811</v>
      </c>
      <c r="E141" s="21" t="s">
        <v>1065</v>
      </c>
      <c r="F141" s="21" t="s">
        <v>592</v>
      </c>
      <c r="G141" s="21" t="s">
        <v>344</v>
      </c>
      <c r="H141" s="21" t="s">
        <v>1066</v>
      </c>
      <c r="I141" s="21" t="s">
        <v>701</v>
      </c>
      <c r="J141" s="21" t="s">
        <v>264</v>
      </c>
      <c r="K141" s="21" t="s">
        <v>452</v>
      </c>
      <c r="L141" s="21" t="s">
        <v>1024</v>
      </c>
      <c r="M141" s="21" t="s">
        <v>213</v>
      </c>
      <c r="N141" s="21" t="s">
        <v>124</v>
      </c>
      <c r="O141" s="21" t="s">
        <v>124</v>
      </c>
      <c r="P141" s="21" t="s">
        <v>124</v>
      </c>
    </row>
    <row r="142" spans="1:16" x14ac:dyDescent="0.3">
      <c r="A142" s="21" t="s">
        <v>1072</v>
      </c>
      <c r="B142" s="21" t="s">
        <v>1068</v>
      </c>
      <c r="C142" s="21" t="s">
        <v>323</v>
      </c>
      <c r="D142" s="9" t="s">
        <v>1069</v>
      </c>
      <c r="E142" s="9" t="s">
        <v>832</v>
      </c>
      <c r="F142" s="9" t="s">
        <v>1070</v>
      </c>
      <c r="G142" s="21" t="s">
        <v>1071</v>
      </c>
      <c r="H142" s="21" t="s">
        <v>683</v>
      </c>
      <c r="I142" s="21" t="s">
        <v>442</v>
      </c>
      <c r="J142" s="21" t="s">
        <v>797</v>
      </c>
      <c r="K142" s="21" t="s">
        <v>299</v>
      </c>
      <c r="L142" s="21" t="s">
        <v>308</v>
      </c>
      <c r="M142" s="21" t="s">
        <v>14</v>
      </c>
      <c r="N142" s="21" t="s">
        <v>124</v>
      </c>
      <c r="O142" s="21" t="s">
        <v>123</v>
      </c>
      <c r="P142" s="21" t="s">
        <v>124</v>
      </c>
    </row>
    <row r="143" spans="1:16" x14ac:dyDescent="0.3">
      <c r="A143" s="21" t="s">
        <v>1079</v>
      </c>
      <c r="B143" s="21" t="s">
        <v>1073</v>
      </c>
      <c r="C143" s="9" t="s">
        <v>1074</v>
      </c>
      <c r="D143" s="9" t="s">
        <v>1075</v>
      </c>
      <c r="E143" s="9" t="s">
        <v>809</v>
      </c>
      <c r="F143" s="9" t="s">
        <v>220</v>
      </c>
      <c r="G143" s="21" t="s">
        <v>632</v>
      </c>
      <c r="H143" s="21" t="s">
        <v>1076</v>
      </c>
      <c r="I143" s="21" t="s">
        <v>1077</v>
      </c>
      <c r="J143" s="21" t="s">
        <v>677</v>
      </c>
      <c r="K143" s="21" t="s">
        <v>1078</v>
      </c>
      <c r="L143" s="21" t="s">
        <v>559</v>
      </c>
      <c r="M143" s="21" t="s">
        <v>213</v>
      </c>
      <c r="N143" s="21" t="s">
        <v>124</v>
      </c>
      <c r="O143" s="21" t="s">
        <v>213</v>
      </c>
      <c r="P143" s="21" t="s">
        <v>13</v>
      </c>
    </row>
    <row r="144" spans="1:16" x14ac:dyDescent="0.3">
      <c r="A144" s="23" t="s">
        <v>1085</v>
      </c>
      <c r="B144" s="8" t="s">
        <v>1080</v>
      </c>
      <c r="C144" s="8" t="s">
        <v>1081</v>
      </c>
      <c r="D144" s="8" t="s">
        <v>796</v>
      </c>
      <c r="E144" s="21" t="s">
        <v>1055</v>
      </c>
      <c r="F144" s="21" t="s">
        <v>1082</v>
      </c>
      <c r="G144" s="21" t="s">
        <v>321</v>
      </c>
      <c r="H144" s="21" t="s">
        <v>1083</v>
      </c>
      <c r="I144" s="21" t="s">
        <v>1084</v>
      </c>
      <c r="J144" s="21" t="s">
        <v>606</v>
      </c>
      <c r="K144" s="21" t="s">
        <v>1019</v>
      </c>
      <c r="L144" s="21" t="s">
        <v>1023</v>
      </c>
      <c r="M144" s="21" t="s">
        <v>123</v>
      </c>
      <c r="N144" s="21" t="s">
        <v>124</v>
      </c>
      <c r="O144" s="21" t="s">
        <v>16</v>
      </c>
      <c r="P144" s="21" t="s">
        <v>470</v>
      </c>
    </row>
    <row r="145" spans="1:16" x14ac:dyDescent="0.3">
      <c r="A145" s="21" t="s">
        <v>1089</v>
      </c>
      <c r="B145" s="21" t="s">
        <v>1041</v>
      </c>
      <c r="C145" s="21" t="s">
        <v>1029</v>
      </c>
      <c r="D145" s="9" t="s">
        <v>1086</v>
      </c>
      <c r="E145" s="9" t="s">
        <v>891</v>
      </c>
      <c r="F145" s="21" t="s">
        <v>1071</v>
      </c>
      <c r="G145" s="21" t="s">
        <v>502</v>
      </c>
      <c r="H145" s="21" t="s">
        <v>576</v>
      </c>
      <c r="I145" s="21" t="s">
        <v>1087</v>
      </c>
      <c r="J145" s="21" t="s">
        <v>1088</v>
      </c>
      <c r="K145" s="21" t="s">
        <v>543</v>
      </c>
      <c r="L145" s="21" t="s">
        <v>518</v>
      </c>
      <c r="M145" s="21" t="s">
        <v>13</v>
      </c>
      <c r="N145" s="21" t="s">
        <v>16</v>
      </c>
      <c r="O145" s="21" t="s">
        <v>124</v>
      </c>
      <c r="P145" s="21" t="s">
        <v>21</v>
      </c>
    </row>
    <row r="146" spans="1:16" x14ac:dyDescent="0.3">
      <c r="A146" s="21" t="s">
        <v>1091</v>
      </c>
      <c r="B146" s="21" t="s">
        <v>986</v>
      </c>
      <c r="C146" s="21" t="s">
        <v>373</v>
      </c>
      <c r="D146" s="21" t="s">
        <v>264</v>
      </c>
      <c r="E146" s="21" t="s">
        <v>1034</v>
      </c>
      <c r="F146" s="21" t="s">
        <v>1090</v>
      </c>
      <c r="G146" s="9" t="s">
        <v>430</v>
      </c>
      <c r="H146" s="21" t="s">
        <v>791</v>
      </c>
      <c r="I146" s="21" t="s">
        <v>226</v>
      </c>
      <c r="J146" s="21" t="s">
        <v>348</v>
      </c>
      <c r="K146" s="9" t="s">
        <v>209</v>
      </c>
      <c r="L146" s="9" t="s">
        <v>696</v>
      </c>
      <c r="M146" s="21" t="s">
        <v>18</v>
      </c>
      <c r="N146" s="21" t="s">
        <v>124</v>
      </c>
      <c r="O146" s="21" t="s">
        <v>18</v>
      </c>
      <c r="P146" s="21" t="s">
        <v>231</v>
      </c>
    </row>
    <row r="147" spans="1:16" x14ac:dyDescent="0.3">
      <c r="A147" s="21" t="s">
        <v>1097</v>
      </c>
      <c r="B147" s="21" t="s">
        <v>179</v>
      </c>
      <c r="C147" s="21" t="s">
        <v>1092</v>
      </c>
      <c r="D147" s="21" t="s">
        <v>707</v>
      </c>
      <c r="E147" s="21" t="s">
        <v>1093</v>
      </c>
      <c r="F147" s="9" t="s">
        <v>611</v>
      </c>
      <c r="G147" s="9" t="s">
        <v>228</v>
      </c>
      <c r="H147" s="21" t="s">
        <v>178</v>
      </c>
      <c r="I147" s="9" t="s">
        <v>1094</v>
      </c>
      <c r="J147" s="9" t="s">
        <v>828</v>
      </c>
      <c r="K147" s="21" t="s">
        <v>1095</v>
      </c>
      <c r="L147" s="21" t="s">
        <v>1096</v>
      </c>
      <c r="M147" s="21" t="s">
        <v>231</v>
      </c>
      <c r="N147" s="21" t="s">
        <v>213</v>
      </c>
      <c r="O147" s="21" t="s">
        <v>382</v>
      </c>
      <c r="P147" s="21" t="s">
        <v>314</v>
      </c>
    </row>
    <row r="148" spans="1:16" x14ac:dyDescent="0.3">
      <c r="A148" s="21" t="s">
        <v>1101</v>
      </c>
      <c r="B148" s="21" t="s">
        <v>868</v>
      </c>
      <c r="C148" s="21" t="s">
        <v>1098</v>
      </c>
      <c r="D148" s="9" t="s">
        <v>648</v>
      </c>
      <c r="E148" s="9" t="s">
        <v>1099</v>
      </c>
      <c r="F148" s="9" t="s">
        <v>1100</v>
      </c>
      <c r="G148" s="9" t="s">
        <v>316</v>
      </c>
      <c r="H148" s="9" t="s">
        <v>865</v>
      </c>
      <c r="I148" s="21" t="s">
        <v>357</v>
      </c>
      <c r="J148" s="9" t="s">
        <v>324</v>
      </c>
      <c r="K148" s="9" t="s">
        <v>228</v>
      </c>
      <c r="L148" s="9" t="s">
        <v>993</v>
      </c>
      <c r="M148" s="21" t="s">
        <v>16</v>
      </c>
      <c r="N148" s="21" t="s">
        <v>19</v>
      </c>
      <c r="O148" s="21" t="s">
        <v>16</v>
      </c>
      <c r="P148" s="21" t="s">
        <v>16</v>
      </c>
    </row>
    <row r="149" spans="1:16" x14ac:dyDescent="0.3">
      <c r="A149" s="23" t="s">
        <v>1105</v>
      </c>
      <c r="B149" s="8" t="s">
        <v>490</v>
      </c>
      <c r="C149" s="21" t="s">
        <v>473</v>
      </c>
      <c r="D149" s="21" t="s">
        <v>1102</v>
      </c>
      <c r="E149" s="21" t="s">
        <v>173</v>
      </c>
      <c r="F149" s="21" t="s">
        <v>574</v>
      </c>
      <c r="G149" s="21" t="s">
        <v>1021</v>
      </c>
      <c r="H149" s="9" t="s">
        <v>1103</v>
      </c>
      <c r="I149" s="21" t="s">
        <v>1104</v>
      </c>
      <c r="J149" s="21" t="s">
        <v>301</v>
      </c>
      <c r="K149" s="21" t="s">
        <v>791</v>
      </c>
      <c r="L149" s="21" t="s">
        <v>221</v>
      </c>
      <c r="M149" s="21" t="s">
        <v>318</v>
      </c>
      <c r="N149" s="21" t="s">
        <v>124</v>
      </c>
      <c r="O149" s="21" t="s">
        <v>16</v>
      </c>
      <c r="P149" s="21" t="s">
        <v>13</v>
      </c>
    </row>
    <row r="150" spans="1:16" x14ac:dyDescent="0.3">
      <c r="A150" s="23" t="s">
        <v>1111</v>
      </c>
      <c r="B150" s="8" t="s">
        <v>1106</v>
      </c>
      <c r="C150" s="8" t="s">
        <v>1107</v>
      </c>
      <c r="D150" s="21" t="s">
        <v>497</v>
      </c>
      <c r="E150" s="21" t="s">
        <v>272</v>
      </c>
      <c r="F150" s="21" t="s">
        <v>887</v>
      </c>
      <c r="G150" s="9" t="s">
        <v>1108</v>
      </c>
      <c r="H150" s="9" t="s">
        <v>746</v>
      </c>
      <c r="I150" s="9" t="s">
        <v>338</v>
      </c>
      <c r="J150" s="21" t="s">
        <v>584</v>
      </c>
      <c r="K150" s="21" t="s">
        <v>1109</v>
      </c>
      <c r="L150" s="21" t="s">
        <v>1110</v>
      </c>
      <c r="M150" s="21" t="s">
        <v>21</v>
      </c>
      <c r="N150" s="21" t="s">
        <v>21</v>
      </c>
      <c r="O150" s="21" t="s">
        <v>14</v>
      </c>
      <c r="P150" s="21" t="s">
        <v>124</v>
      </c>
    </row>
    <row r="151" spans="1:16" x14ac:dyDescent="0.3">
      <c r="A151" s="22" t="s">
        <v>1116</v>
      </c>
      <c r="B151" s="9" t="s">
        <v>706</v>
      </c>
      <c r="C151" s="21" t="s">
        <v>303</v>
      </c>
      <c r="D151" s="21" t="s">
        <v>1022</v>
      </c>
      <c r="E151" s="21" t="s">
        <v>763</v>
      </c>
      <c r="F151" s="21" t="s">
        <v>212</v>
      </c>
      <c r="G151" s="21" t="s">
        <v>838</v>
      </c>
      <c r="H151" s="21" t="s">
        <v>1112</v>
      </c>
      <c r="I151" s="21" t="s">
        <v>1000</v>
      </c>
      <c r="J151" s="8" t="s">
        <v>1113</v>
      </c>
      <c r="K151" s="8" t="s">
        <v>1114</v>
      </c>
      <c r="L151" s="8" t="s">
        <v>1115</v>
      </c>
      <c r="M151" s="21" t="s">
        <v>318</v>
      </c>
      <c r="N151" s="21" t="s">
        <v>14</v>
      </c>
      <c r="O151" s="21" t="s">
        <v>20</v>
      </c>
      <c r="P151" s="21" t="s">
        <v>213</v>
      </c>
    </row>
    <row r="152" spans="1:16" x14ac:dyDescent="0.3">
      <c r="A152" s="21" t="s">
        <v>1117</v>
      </c>
      <c r="B152" s="21" t="s">
        <v>177</v>
      </c>
      <c r="C152" s="21" t="s">
        <v>177</v>
      </c>
      <c r="D152" s="21" t="s">
        <v>342</v>
      </c>
      <c r="E152" s="21" t="s">
        <v>581</v>
      </c>
      <c r="F152" s="21" t="s">
        <v>601</v>
      </c>
      <c r="G152" s="9" t="s">
        <v>500</v>
      </c>
      <c r="H152" s="21" t="s">
        <v>303</v>
      </c>
      <c r="I152" s="9" t="s">
        <v>324</v>
      </c>
      <c r="J152" s="9" t="s">
        <v>762</v>
      </c>
      <c r="K152" s="21" t="s">
        <v>296</v>
      </c>
      <c r="L152" s="21" t="s">
        <v>889</v>
      </c>
      <c r="M152" s="21" t="s">
        <v>16</v>
      </c>
      <c r="N152" s="21" t="s">
        <v>231</v>
      </c>
      <c r="O152" s="21" t="s">
        <v>15</v>
      </c>
      <c r="P152" s="21" t="s">
        <v>16</v>
      </c>
    </row>
    <row r="153" spans="1:16" x14ac:dyDescent="0.3">
      <c r="A153" s="22" t="s">
        <v>1121</v>
      </c>
      <c r="B153" s="9" t="s">
        <v>762</v>
      </c>
      <c r="C153" s="9" t="s">
        <v>910</v>
      </c>
      <c r="D153" s="9" t="s">
        <v>316</v>
      </c>
      <c r="E153" s="9" t="s">
        <v>1118</v>
      </c>
      <c r="F153" s="9" t="s">
        <v>825</v>
      </c>
      <c r="G153" s="9" t="s">
        <v>1119</v>
      </c>
      <c r="H153" s="21" t="s">
        <v>617</v>
      </c>
      <c r="I153" s="21" t="s">
        <v>1120</v>
      </c>
      <c r="J153" s="21" t="s">
        <v>1024</v>
      </c>
      <c r="K153" s="21" t="s">
        <v>301</v>
      </c>
      <c r="L153" s="21" t="s">
        <v>878</v>
      </c>
      <c r="M153" s="21" t="s">
        <v>213</v>
      </c>
      <c r="N153" s="21" t="s">
        <v>231</v>
      </c>
      <c r="O153" s="21" t="s">
        <v>21</v>
      </c>
      <c r="P153" s="21" t="s">
        <v>278</v>
      </c>
    </row>
    <row r="154" spans="1:16" x14ac:dyDescent="0.3">
      <c r="A154" s="21" t="s">
        <v>1125</v>
      </c>
      <c r="B154" s="21" t="s">
        <v>616</v>
      </c>
      <c r="C154" s="21" t="s">
        <v>300</v>
      </c>
      <c r="D154" s="21" t="s">
        <v>362</v>
      </c>
      <c r="E154" s="21" t="s">
        <v>1024</v>
      </c>
      <c r="F154" s="9" t="s">
        <v>1122</v>
      </c>
      <c r="G154" s="9" t="s">
        <v>1123</v>
      </c>
      <c r="H154" s="9" t="s">
        <v>1124</v>
      </c>
      <c r="I154" s="9" t="s">
        <v>864</v>
      </c>
      <c r="J154" s="9" t="s">
        <v>695</v>
      </c>
      <c r="K154" s="9" t="s">
        <v>245</v>
      </c>
      <c r="L154" s="21" t="s">
        <v>632</v>
      </c>
      <c r="M154" s="21" t="s">
        <v>278</v>
      </c>
      <c r="N154" s="21" t="s">
        <v>278</v>
      </c>
      <c r="O154" s="21" t="s">
        <v>124</v>
      </c>
      <c r="P154" s="21" t="s">
        <v>21</v>
      </c>
    </row>
    <row r="155" spans="1:16" x14ac:dyDescent="0.3">
      <c r="A155" s="21" t="s">
        <v>1129</v>
      </c>
      <c r="B155" s="21" t="s">
        <v>342</v>
      </c>
      <c r="C155" s="21" t="s">
        <v>986</v>
      </c>
      <c r="D155" s="21" t="s">
        <v>1126</v>
      </c>
      <c r="E155" s="21" t="s">
        <v>438</v>
      </c>
      <c r="F155" s="21" t="s">
        <v>1127</v>
      </c>
      <c r="G155" s="21" t="s">
        <v>732</v>
      </c>
      <c r="H155" s="9" t="s">
        <v>437</v>
      </c>
      <c r="I155" s="9" t="s">
        <v>1128</v>
      </c>
      <c r="J155" s="9" t="s">
        <v>291</v>
      </c>
      <c r="K155" s="21" t="s">
        <v>777</v>
      </c>
      <c r="L155" s="9" t="s">
        <v>406</v>
      </c>
      <c r="M155" s="21" t="s">
        <v>231</v>
      </c>
      <c r="N155" s="21" t="s">
        <v>278</v>
      </c>
      <c r="O155" s="21" t="s">
        <v>318</v>
      </c>
      <c r="P155" s="21" t="s">
        <v>124</v>
      </c>
    </row>
    <row r="156" spans="1:16" x14ac:dyDescent="0.3">
      <c r="A156" s="22" t="s">
        <v>1130</v>
      </c>
      <c r="B156" s="9" t="s">
        <v>413</v>
      </c>
      <c r="C156" s="21" t="s">
        <v>400</v>
      </c>
      <c r="D156" s="21" t="s">
        <v>508</v>
      </c>
      <c r="E156" s="21" t="s">
        <v>503</v>
      </c>
      <c r="F156" s="21" t="s">
        <v>985</v>
      </c>
      <c r="G156" s="21" t="s">
        <v>723</v>
      </c>
      <c r="H156" s="21" t="s">
        <v>516</v>
      </c>
      <c r="I156" s="21" t="s">
        <v>637</v>
      </c>
      <c r="J156" s="21" t="s">
        <v>551</v>
      </c>
      <c r="K156" s="21" t="s">
        <v>274</v>
      </c>
      <c r="L156" s="21" t="s">
        <v>1076</v>
      </c>
      <c r="M156" s="21" t="s">
        <v>213</v>
      </c>
      <c r="N156" s="21" t="s">
        <v>15</v>
      </c>
      <c r="O156" s="21" t="s">
        <v>318</v>
      </c>
      <c r="P156" s="21" t="s">
        <v>16</v>
      </c>
    </row>
    <row r="157" spans="1:16" x14ac:dyDescent="0.3">
      <c r="A157" s="21" t="s">
        <v>1135</v>
      </c>
      <c r="B157" s="21" t="s">
        <v>1090</v>
      </c>
      <c r="C157" s="9" t="s">
        <v>511</v>
      </c>
      <c r="D157" s="9" t="s">
        <v>1131</v>
      </c>
      <c r="E157" s="21" t="s">
        <v>452</v>
      </c>
      <c r="F157" s="21" t="s">
        <v>975</v>
      </c>
      <c r="G157" s="21" t="s">
        <v>1132</v>
      </c>
      <c r="H157" s="8" t="s">
        <v>1133</v>
      </c>
      <c r="I157" s="8" t="s">
        <v>1134</v>
      </c>
      <c r="J157" s="21" t="s">
        <v>171</v>
      </c>
      <c r="K157" s="21" t="s">
        <v>376</v>
      </c>
      <c r="L157" s="21" t="s">
        <v>1112</v>
      </c>
      <c r="M157" s="21" t="s">
        <v>14</v>
      </c>
      <c r="N157" s="21" t="s">
        <v>16</v>
      </c>
      <c r="O157" s="21" t="s">
        <v>124</v>
      </c>
      <c r="P157" s="21" t="s">
        <v>16</v>
      </c>
    </row>
    <row r="158" spans="1:16" x14ac:dyDescent="0.3">
      <c r="A158" s="22" t="s">
        <v>1139</v>
      </c>
      <c r="B158" s="9" t="s">
        <v>936</v>
      </c>
      <c r="C158" s="9" t="s">
        <v>436</v>
      </c>
      <c r="D158" s="9" t="s">
        <v>756</v>
      </c>
      <c r="E158" s="21" t="s">
        <v>1136</v>
      </c>
      <c r="F158" s="21" t="s">
        <v>815</v>
      </c>
      <c r="G158" s="9" t="s">
        <v>324</v>
      </c>
      <c r="H158" s="9" t="s">
        <v>772</v>
      </c>
      <c r="I158" s="9" t="s">
        <v>882</v>
      </c>
      <c r="J158" s="9" t="s">
        <v>1137</v>
      </c>
      <c r="K158" s="9" t="s">
        <v>692</v>
      </c>
      <c r="L158" s="9" t="s">
        <v>1138</v>
      </c>
      <c r="M158" s="21" t="s">
        <v>16</v>
      </c>
      <c r="N158" s="21" t="s">
        <v>124</v>
      </c>
      <c r="O158" s="21" t="s">
        <v>124</v>
      </c>
      <c r="P158" s="21" t="s">
        <v>231</v>
      </c>
    </row>
    <row r="159" spans="1:16" x14ac:dyDescent="0.3">
      <c r="A159" s="21" t="s">
        <v>1148</v>
      </c>
      <c r="B159" s="21" t="s">
        <v>1140</v>
      </c>
      <c r="C159" s="8" t="s">
        <v>1141</v>
      </c>
      <c r="D159" s="8" t="s">
        <v>1142</v>
      </c>
      <c r="E159" s="8" t="s">
        <v>1143</v>
      </c>
      <c r="F159" s="8" t="s">
        <v>1144</v>
      </c>
      <c r="G159" s="8" t="s">
        <v>1145</v>
      </c>
      <c r="H159" s="8" t="s">
        <v>1146</v>
      </c>
      <c r="I159" s="8" t="s">
        <v>873</v>
      </c>
      <c r="J159" s="21" t="s">
        <v>593</v>
      </c>
      <c r="K159" s="8" t="s">
        <v>1147</v>
      </c>
      <c r="L159" s="8" t="s">
        <v>819</v>
      </c>
      <c r="M159" s="21" t="s">
        <v>21</v>
      </c>
      <c r="N159" s="21" t="s">
        <v>16</v>
      </c>
      <c r="O159" s="21" t="s">
        <v>382</v>
      </c>
      <c r="P159" s="21" t="s">
        <v>230</v>
      </c>
    </row>
    <row r="160" spans="1:16" x14ac:dyDescent="0.3">
      <c r="A160" s="21" t="s">
        <v>1154</v>
      </c>
      <c r="B160" s="21" t="s">
        <v>1149</v>
      </c>
      <c r="C160" s="21" t="s">
        <v>459</v>
      </c>
      <c r="D160" s="21" t="s">
        <v>1150</v>
      </c>
      <c r="E160" s="8" t="s">
        <v>1151</v>
      </c>
      <c r="F160" s="21" t="s">
        <v>1152</v>
      </c>
      <c r="G160" s="21" t="s">
        <v>484</v>
      </c>
      <c r="H160" s="21" t="s">
        <v>275</v>
      </c>
      <c r="I160" s="21" t="s">
        <v>347</v>
      </c>
      <c r="J160" s="21" t="s">
        <v>192</v>
      </c>
      <c r="K160" s="21" t="s">
        <v>505</v>
      </c>
      <c r="L160" s="21" t="s">
        <v>1153</v>
      </c>
      <c r="M160" s="21" t="s">
        <v>213</v>
      </c>
      <c r="N160" s="21" t="s">
        <v>266</v>
      </c>
      <c r="O160" s="21" t="s">
        <v>318</v>
      </c>
      <c r="P160" s="21" t="s">
        <v>15</v>
      </c>
    </row>
    <row r="161" spans="1:16" x14ac:dyDescent="0.3">
      <c r="A161" s="22" t="s">
        <v>1162</v>
      </c>
      <c r="B161" s="9" t="s">
        <v>1155</v>
      </c>
      <c r="C161" s="21" t="s">
        <v>518</v>
      </c>
      <c r="D161" s="21" t="s">
        <v>765</v>
      </c>
      <c r="E161" s="21" t="s">
        <v>204</v>
      </c>
      <c r="F161" s="21" t="s">
        <v>1156</v>
      </c>
      <c r="G161" s="8" t="s">
        <v>1157</v>
      </c>
      <c r="H161" s="8" t="s">
        <v>1158</v>
      </c>
      <c r="I161" s="8" t="s">
        <v>1159</v>
      </c>
      <c r="J161" s="21" t="s">
        <v>1160</v>
      </c>
      <c r="K161" s="8" t="s">
        <v>665</v>
      </c>
      <c r="L161" s="21" t="s">
        <v>1161</v>
      </c>
      <c r="M161" s="21" t="s">
        <v>382</v>
      </c>
      <c r="N161" s="21" t="s">
        <v>213</v>
      </c>
      <c r="O161" s="21" t="s">
        <v>382</v>
      </c>
      <c r="P161" s="21" t="s">
        <v>21</v>
      </c>
    </row>
    <row r="162" spans="1:16" x14ac:dyDescent="0.3">
      <c r="A162" s="21" t="s">
        <v>1165</v>
      </c>
      <c r="B162" s="21" t="s">
        <v>838</v>
      </c>
      <c r="C162" s="21" t="s">
        <v>686</v>
      </c>
      <c r="D162" s="21" t="s">
        <v>735</v>
      </c>
      <c r="E162" s="21" t="s">
        <v>1163</v>
      </c>
      <c r="F162" s="21" t="s">
        <v>776</v>
      </c>
      <c r="G162" s="9" t="s">
        <v>721</v>
      </c>
      <c r="H162" s="21" t="s">
        <v>686</v>
      </c>
      <c r="I162" s="21" t="s">
        <v>732</v>
      </c>
      <c r="J162" s="21" t="s">
        <v>548</v>
      </c>
      <c r="K162" s="21" t="s">
        <v>1164</v>
      </c>
      <c r="L162" s="21" t="s">
        <v>1045</v>
      </c>
      <c r="M162" s="21" t="s">
        <v>314</v>
      </c>
      <c r="N162" s="21" t="s">
        <v>124</v>
      </c>
      <c r="O162" s="21" t="s">
        <v>278</v>
      </c>
      <c r="P162" s="21" t="s">
        <v>16</v>
      </c>
    </row>
    <row r="163" spans="1:16" x14ac:dyDescent="0.3">
      <c r="A163" s="21" t="s">
        <v>1172</v>
      </c>
      <c r="B163" s="21" t="s">
        <v>1166</v>
      </c>
      <c r="C163" s="21" t="s">
        <v>400</v>
      </c>
      <c r="D163" s="21" t="s">
        <v>1167</v>
      </c>
      <c r="E163" s="9" t="s">
        <v>1168</v>
      </c>
      <c r="F163" s="9" t="s">
        <v>1119</v>
      </c>
      <c r="G163" s="21" t="s">
        <v>576</v>
      </c>
      <c r="H163" s="21" t="s">
        <v>1084</v>
      </c>
      <c r="I163" s="8" t="s">
        <v>1169</v>
      </c>
      <c r="J163" s="8" t="s">
        <v>1170</v>
      </c>
      <c r="K163" s="8" t="s">
        <v>1171</v>
      </c>
      <c r="L163" s="8" t="s">
        <v>1144</v>
      </c>
      <c r="M163" s="21" t="s">
        <v>318</v>
      </c>
      <c r="N163" s="21" t="s">
        <v>124</v>
      </c>
      <c r="O163" s="21" t="s">
        <v>318</v>
      </c>
      <c r="P163" s="21" t="s">
        <v>318</v>
      </c>
    </row>
    <row r="164" spans="1:16" x14ac:dyDescent="0.3">
      <c r="A164" s="21" t="s">
        <v>1177</v>
      </c>
      <c r="B164" s="21" t="s">
        <v>395</v>
      </c>
      <c r="C164" s="21" t="s">
        <v>1173</v>
      </c>
      <c r="D164" s="9" t="s">
        <v>500</v>
      </c>
      <c r="E164" s="21" t="s">
        <v>1174</v>
      </c>
      <c r="F164" s="21" t="s">
        <v>1071</v>
      </c>
      <c r="G164" s="21" t="s">
        <v>728</v>
      </c>
      <c r="H164" s="21" t="s">
        <v>502</v>
      </c>
      <c r="I164" s="21" t="s">
        <v>1175</v>
      </c>
      <c r="J164" s="9" t="s">
        <v>583</v>
      </c>
      <c r="K164" s="9" t="s">
        <v>1176</v>
      </c>
      <c r="L164" s="21" t="s">
        <v>178</v>
      </c>
      <c r="M164" s="21" t="s">
        <v>16</v>
      </c>
      <c r="N164" s="21" t="s">
        <v>124</v>
      </c>
      <c r="O164" s="21" t="s">
        <v>16</v>
      </c>
      <c r="P164" s="21" t="s">
        <v>15</v>
      </c>
    </row>
    <row r="165" spans="1:16" x14ac:dyDescent="0.3">
      <c r="A165" s="22" t="s">
        <v>1179</v>
      </c>
      <c r="B165" s="9" t="s">
        <v>963</v>
      </c>
      <c r="C165" s="9" t="s">
        <v>1178</v>
      </c>
      <c r="D165" s="9" t="s">
        <v>239</v>
      </c>
      <c r="E165" s="21" t="s">
        <v>1071</v>
      </c>
      <c r="F165" s="21" t="s">
        <v>241</v>
      </c>
      <c r="G165" s="21" t="s">
        <v>561</v>
      </c>
      <c r="H165" s="21" t="s">
        <v>277</v>
      </c>
      <c r="I165" s="21" t="s">
        <v>513</v>
      </c>
      <c r="J165" s="21" t="s">
        <v>317</v>
      </c>
      <c r="K165" s="21" t="s">
        <v>431</v>
      </c>
      <c r="L165" s="21" t="s">
        <v>561</v>
      </c>
      <c r="M165" s="21" t="s">
        <v>382</v>
      </c>
      <c r="N165" s="21" t="s">
        <v>231</v>
      </c>
      <c r="O165" s="21" t="s">
        <v>124</v>
      </c>
      <c r="P165" s="21" t="s">
        <v>21</v>
      </c>
    </row>
    <row r="166" spans="1:16" x14ac:dyDescent="0.3">
      <c r="A166" s="21" t="s">
        <v>155</v>
      </c>
      <c r="B166" s="21" t="s">
        <v>1180</v>
      </c>
      <c r="C166" s="21" t="s">
        <v>1181</v>
      </c>
      <c r="D166" s="21" t="s">
        <v>335</v>
      </c>
      <c r="E166" s="21" t="s">
        <v>966</v>
      </c>
      <c r="F166" s="21" t="s">
        <v>1029</v>
      </c>
      <c r="G166" s="21" t="s">
        <v>381</v>
      </c>
      <c r="H166" s="21" t="s">
        <v>657</v>
      </c>
      <c r="I166" s="21" t="s">
        <v>1182</v>
      </c>
      <c r="J166" s="21" t="s">
        <v>608</v>
      </c>
      <c r="K166" s="21" t="s">
        <v>912</v>
      </c>
      <c r="L166" s="21" t="s">
        <v>532</v>
      </c>
      <c r="M166" s="21" t="s">
        <v>124</v>
      </c>
      <c r="N166" s="21" t="s">
        <v>19</v>
      </c>
      <c r="O166" s="21" t="s">
        <v>20</v>
      </c>
      <c r="P166" s="21" t="s">
        <v>14</v>
      </c>
    </row>
    <row r="167" spans="1:16" x14ac:dyDescent="0.3">
      <c r="A167" s="21" t="s">
        <v>156</v>
      </c>
      <c r="B167" s="21" t="s">
        <v>1183</v>
      </c>
      <c r="C167" s="21" t="s">
        <v>359</v>
      </c>
      <c r="D167" s="21" t="s">
        <v>793</v>
      </c>
      <c r="E167" s="21" t="s">
        <v>822</v>
      </c>
      <c r="F167" s="21" t="s">
        <v>466</v>
      </c>
      <c r="G167" s="21" t="s">
        <v>285</v>
      </c>
      <c r="H167" s="21" t="s">
        <v>269</v>
      </c>
      <c r="I167" s="21" t="s">
        <v>1184</v>
      </c>
      <c r="J167" s="21" t="s">
        <v>185</v>
      </c>
      <c r="K167" s="21" t="s">
        <v>394</v>
      </c>
      <c r="L167" s="21" t="s">
        <v>1175</v>
      </c>
      <c r="M167" s="21" t="s">
        <v>123</v>
      </c>
      <c r="N167" s="21" t="s">
        <v>314</v>
      </c>
      <c r="O167" s="21" t="s">
        <v>278</v>
      </c>
      <c r="P167" s="21" t="s">
        <v>123</v>
      </c>
    </row>
    <row r="168" spans="1:16" x14ac:dyDescent="0.3">
      <c r="A168" s="21" t="s">
        <v>1186</v>
      </c>
      <c r="B168" s="21" t="s">
        <v>185</v>
      </c>
      <c r="C168" s="21" t="s">
        <v>185</v>
      </c>
      <c r="D168" s="9" t="s">
        <v>413</v>
      </c>
      <c r="E168" s="9" t="s">
        <v>413</v>
      </c>
      <c r="F168" s="9" t="s">
        <v>1185</v>
      </c>
      <c r="G168" s="9" t="s">
        <v>718</v>
      </c>
      <c r="H168" s="9" t="s">
        <v>258</v>
      </c>
      <c r="I168" s="21" t="s">
        <v>465</v>
      </c>
      <c r="J168" s="21" t="s">
        <v>518</v>
      </c>
      <c r="K168" s="21" t="s">
        <v>466</v>
      </c>
      <c r="L168" s="21" t="s">
        <v>415</v>
      </c>
      <c r="M168" s="21" t="s">
        <v>16</v>
      </c>
      <c r="N168" s="21" t="s">
        <v>278</v>
      </c>
      <c r="O168" s="21" t="s">
        <v>124</v>
      </c>
      <c r="P168" s="21" t="s">
        <v>123</v>
      </c>
    </row>
    <row r="169" spans="1:16" x14ac:dyDescent="0.3">
      <c r="A169" s="22" t="s">
        <v>1190</v>
      </c>
      <c r="B169" s="9" t="s">
        <v>350</v>
      </c>
      <c r="C169" s="9" t="s">
        <v>1187</v>
      </c>
      <c r="D169" s="9" t="s">
        <v>1188</v>
      </c>
      <c r="E169" s="9" t="s">
        <v>200</v>
      </c>
      <c r="F169" s="21" t="s">
        <v>294</v>
      </c>
      <c r="G169" s="21" t="s">
        <v>584</v>
      </c>
      <c r="H169" s="21" t="s">
        <v>776</v>
      </c>
      <c r="I169" s="21" t="s">
        <v>1189</v>
      </c>
      <c r="J169" s="9" t="s">
        <v>1099</v>
      </c>
      <c r="K169" s="9" t="s">
        <v>1056</v>
      </c>
      <c r="L169" s="9" t="s">
        <v>661</v>
      </c>
      <c r="M169" s="21" t="s">
        <v>19</v>
      </c>
      <c r="N169" s="21" t="s">
        <v>19</v>
      </c>
      <c r="O169" s="21" t="s">
        <v>16</v>
      </c>
      <c r="P169" s="21" t="s">
        <v>213</v>
      </c>
    </row>
    <row r="170" spans="1:16" x14ac:dyDescent="0.3">
      <c r="A170" s="21" t="s">
        <v>1196</v>
      </c>
      <c r="B170" s="21" t="s">
        <v>972</v>
      </c>
      <c r="C170" s="9" t="s">
        <v>1191</v>
      </c>
      <c r="D170" s="9" t="s">
        <v>200</v>
      </c>
      <c r="E170" s="9" t="s">
        <v>1192</v>
      </c>
      <c r="F170" s="21" t="s">
        <v>836</v>
      </c>
      <c r="G170" s="21" t="s">
        <v>1193</v>
      </c>
      <c r="H170" s="8" t="s">
        <v>1194</v>
      </c>
      <c r="I170" s="21" t="s">
        <v>1195</v>
      </c>
      <c r="J170" s="21" t="s">
        <v>280</v>
      </c>
      <c r="K170" s="21" t="s">
        <v>1112</v>
      </c>
      <c r="L170" s="21" t="s">
        <v>722</v>
      </c>
      <c r="M170" s="21" t="s">
        <v>231</v>
      </c>
      <c r="N170" s="21" t="s">
        <v>16</v>
      </c>
      <c r="O170" s="21" t="s">
        <v>15</v>
      </c>
      <c r="P170" s="21" t="s">
        <v>21</v>
      </c>
    </row>
    <row r="171" spans="1:16" x14ac:dyDescent="0.3">
      <c r="A171" s="21" t="s">
        <v>1199</v>
      </c>
      <c r="B171" s="21" t="s">
        <v>201</v>
      </c>
      <c r="C171" s="21" t="s">
        <v>1197</v>
      </c>
      <c r="D171" s="9" t="s">
        <v>500</v>
      </c>
      <c r="E171" s="21" t="s">
        <v>633</v>
      </c>
      <c r="F171" s="9" t="s">
        <v>1198</v>
      </c>
      <c r="G171" s="9" t="s">
        <v>613</v>
      </c>
      <c r="H171" s="9" t="s">
        <v>963</v>
      </c>
      <c r="I171" s="9" t="s">
        <v>1178</v>
      </c>
      <c r="J171" s="9" t="s">
        <v>239</v>
      </c>
      <c r="K171" s="21" t="s">
        <v>1071</v>
      </c>
      <c r="L171" s="21" t="s">
        <v>241</v>
      </c>
      <c r="M171" s="21" t="s">
        <v>18</v>
      </c>
      <c r="N171" s="21" t="s">
        <v>15</v>
      </c>
      <c r="O171" s="21" t="s">
        <v>124</v>
      </c>
      <c r="P171" s="21" t="s">
        <v>124</v>
      </c>
    </row>
    <row r="172" spans="1:16" x14ac:dyDescent="0.3">
      <c r="A172" s="21" t="s">
        <v>157</v>
      </c>
      <c r="B172" s="21" t="s">
        <v>734</v>
      </c>
      <c r="C172" s="21" t="s">
        <v>1200</v>
      </c>
      <c r="D172" s="21" t="s">
        <v>677</v>
      </c>
      <c r="E172" s="21" t="s">
        <v>1201</v>
      </c>
      <c r="F172" s="21" t="s">
        <v>322</v>
      </c>
      <c r="G172" s="21" t="s">
        <v>968</v>
      </c>
      <c r="H172" s="21" t="s">
        <v>576</v>
      </c>
      <c r="I172" s="21" t="s">
        <v>378</v>
      </c>
      <c r="J172" s="21" t="s">
        <v>264</v>
      </c>
      <c r="K172" s="21" t="s">
        <v>921</v>
      </c>
      <c r="L172" s="21" t="s">
        <v>185</v>
      </c>
      <c r="M172" s="21" t="s">
        <v>21</v>
      </c>
      <c r="N172" s="21" t="s">
        <v>16</v>
      </c>
      <c r="O172" s="21" t="s">
        <v>213</v>
      </c>
      <c r="P172" s="21" t="s">
        <v>16</v>
      </c>
    </row>
    <row r="173" spans="1:16" x14ac:dyDescent="0.3">
      <c r="A173" s="21" t="s">
        <v>1204</v>
      </c>
      <c r="B173" s="21" t="s">
        <v>265</v>
      </c>
      <c r="C173" s="21" t="s">
        <v>1127</v>
      </c>
      <c r="D173" s="21" t="s">
        <v>535</v>
      </c>
      <c r="E173" s="21" t="s">
        <v>1202</v>
      </c>
      <c r="F173" s="21" t="s">
        <v>259</v>
      </c>
      <c r="G173" s="21" t="s">
        <v>793</v>
      </c>
      <c r="H173" s="21" t="s">
        <v>447</v>
      </c>
      <c r="I173" s="21" t="s">
        <v>1093</v>
      </c>
      <c r="J173" s="9" t="s">
        <v>809</v>
      </c>
      <c r="K173" s="21" t="s">
        <v>201</v>
      </c>
      <c r="L173" s="21" t="s">
        <v>1203</v>
      </c>
      <c r="M173" s="21" t="s">
        <v>16</v>
      </c>
      <c r="N173" s="21" t="s">
        <v>231</v>
      </c>
      <c r="O173" s="21" t="s">
        <v>470</v>
      </c>
      <c r="P173" s="21" t="s">
        <v>21</v>
      </c>
    </row>
    <row r="174" spans="1:16" x14ac:dyDescent="0.3">
      <c r="A174" s="21" t="s">
        <v>1210</v>
      </c>
      <c r="B174" s="21" t="s">
        <v>985</v>
      </c>
      <c r="C174" s="21" t="s">
        <v>598</v>
      </c>
      <c r="D174" s="21" t="s">
        <v>288</v>
      </c>
      <c r="E174" s="9" t="s">
        <v>1205</v>
      </c>
      <c r="F174" s="9" t="s">
        <v>1206</v>
      </c>
      <c r="G174" s="9" t="s">
        <v>824</v>
      </c>
      <c r="H174" s="21" t="s">
        <v>294</v>
      </c>
      <c r="I174" s="21" t="s">
        <v>1132</v>
      </c>
      <c r="J174" s="8" t="s">
        <v>1207</v>
      </c>
      <c r="K174" s="8" t="s">
        <v>1208</v>
      </c>
      <c r="L174" s="8" t="s">
        <v>1209</v>
      </c>
      <c r="M174" s="21" t="s">
        <v>266</v>
      </c>
      <c r="N174" s="21" t="s">
        <v>318</v>
      </c>
      <c r="O174" s="21" t="s">
        <v>15</v>
      </c>
      <c r="P174" s="21" t="s">
        <v>21</v>
      </c>
    </row>
    <row r="175" spans="1:16" x14ac:dyDescent="0.3">
      <c r="A175" s="21" t="s">
        <v>1216</v>
      </c>
      <c r="B175" s="21" t="s">
        <v>448</v>
      </c>
      <c r="C175" s="9" t="s">
        <v>1211</v>
      </c>
      <c r="D175" s="9" t="s">
        <v>773</v>
      </c>
      <c r="E175" s="9" t="s">
        <v>1212</v>
      </c>
      <c r="F175" s="9" t="s">
        <v>908</v>
      </c>
      <c r="G175" s="9" t="s">
        <v>200</v>
      </c>
      <c r="H175" s="21" t="s">
        <v>221</v>
      </c>
      <c r="I175" s="21" t="s">
        <v>1213</v>
      </c>
      <c r="J175" s="21" t="s">
        <v>1214</v>
      </c>
      <c r="K175" s="21" t="s">
        <v>1215</v>
      </c>
      <c r="L175" s="21" t="s">
        <v>423</v>
      </c>
      <c r="M175" s="21" t="s">
        <v>124</v>
      </c>
      <c r="N175" s="21" t="s">
        <v>278</v>
      </c>
      <c r="O175" s="21" t="s">
        <v>124</v>
      </c>
      <c r="P175" s="21" t="s">
        <v>21</v>
      </c>
    </row>
    <row r="176" spans="1:16" x14ac:dyDescent="0.3">
      <c r="A176" s="21" t="s">
        <v>1218</v>
      </c>
      <c r="B176" s="21" t="s">
        <v>640</v>
      </c>
      <c r="C176" s="9" t="s">
        <v>1217</v>
      </c>
      <c r="D176" s="9" t="s">
        <v>998</v>
      </c>
      <c r="E176" s="9" t="s">
        <v>245</v>
      </c>
      <c r="F176" s="9" t="s">
        <v>245</v>
      </c>
      <c r="G176" s="9" t="s">
        <v>247</v>
      </c>
      <c r="H176" s="21" t="s">
        <v>336</v>
      </c>
      <c r="I176" s="9" t="s">
        <v>756</v>
      </c>
      <c r="J176" s="21" t="s">
        <v>248</v>
      </c>
      <c r="K176" s="21" t="s">
        <v>734</v>
      </c>
      <c r="L176" s="21" t="s">
        <v>924</v>
      </c>
      <c r="M176" s="21" t="s">
        <v>124</v>
      </c>
      <c r="N176" s="21" t="s">
        <v>15</v>
      </c>
      <c r="O176" s="21" t="s">
        <v>278</v>
      </c>
      <c r="P176" s="21" t="s">
        <v>231</v>
      </c>
    </row>
    <row r="177" spans="1:16" x14ac:dyDescent="0.3">
      <c r="A177" s="21" t="s">
        <v>1221</v>
      </c>
      <c r="B177" s="21" t="s">
        <v>177</v>
      </c>
      <c r="C177" s="21" t="s">
        <v>466</v>
      </c>
      <c r="D177" s="21" t="s">
        <v>838</v>
      </c>
      <c r="E177" s="21" t="s">
        <v>704</v>
      </c>
      <c r="F177" s="9" t="s">
        <v>1219</v>
      </c>
      <c r="G177" s="21" t="s">
        <v>748</v>
      </c>
      <c r="H177" s="21" t="s">
        <v>1001</v>
      </c>
      <c r="I177" s="21" t="s">
        <v>326</v>
      </c>
      <c r="J177" s="21" t="s">
        <v>663</v>
      </c>
      <c r="K177" s="8" t="s">
        <v>730</v>
      </c>
      <c r="L177" s="8" t="s">
        <v>1220</v>
      </c>
      <c r="M177" s="21" t="s">
        <v>16</v>
      </c>
      <c r="N177" s="21" t="s">
        <v>382</v>
      </c>
      <c r="O177" s="21" t="s">
        <v>14</v>
      </c>
      <c r="P177" s="21" t="s">
        <v>15</v>
      </c>
    </row>
    <row r="178" spans="1:16" x14ac:dyDescent="0.3">
      <c r="A178" s="23" t="s">
        <v>1225</v>
      </c>
      <c r="B178" s="8" t="s">
        <v>665</v>
      </c>
      <c r="C178" s="21" t="s">
        <v>569</v>
      </c>
      <c r="D178" s="21" t="s">
        <v>570</v>
      </c>
      <c r="E178" s="21" t="s">
        <v>548</v>
      </c>
      <c r="F178" s="9" t="s">
        <v>1222</v>
      </c>
      <c r="G178" s="9" t="s">
        <v>648</v>
      </c>
      <c r="H178" s="21" t="s">
        <v>1223</v>
      </c>
      <c r="I178" s="9" t="s">
        <v>832</v>
      </c>
      <c r="J178" s="9" t="s">
        <v>1224</v>
      </c>
      <c r="K178" s="9" t="s">
        <v>219</v>
      </c>
      <c r="L178" s="9" t="s">
        <v>1187</v>
      </c>
      <c r="M178" s="21" t="s">
        <v>231</v>
      </c>
      <c r="N178" s="21" t="s">
        <v>123</v>
      </c>
      <c r="O178" s="21" t="s">
        <v>213</v>
      </c>
      <c r="P178" s="21" t="s">
        <v>231</v>
      </c>
    </row>
    <row r="179" spans="1:16" x14ac:dyDescent="0.3">
      <c r="A179" s="21" t="s">
        <v>1226</v>
      </c>
      <c r="B179" s="21" t="s">
        <v>682</v>
      </c>
      <c r="C179" s="21" t="s">
        <v>1120</v>
      </c>
      <c r="D179" s="21" t="s">
        <v>581</v>
      </c>
      <c r="E179" s="21" t="s">
        <v>303</v>
      </c>
      <c r="F179" s="9" t="s">
        <v>324</v>
      </c>
      <c r="G179" s="21" t="s">
        <v>889</v>
      </c>
      <c r="H179" s="21" t="s">
        <v>686</v>
      </c>
      <c r="I179" s="21" t="s">
        <v>1028</v>
      </c>
      <c r="J179" s="21" t="s">
        <v>584</v>
      </c>
      <c r="K179" s="21" t="s">
        <v>488</v>
      </c>
      <c r="L179" s="8" t="s">
        <v>528</v>
      </c>
      <c r="M179" s="21" t="s">
        <v>124</v>
      </c>
      <c r="N179" s="21" t="s">
        <v>213</v>
      </c>
      <c r="O179" s="21" t="s">
        <v>318</v>
      </c>
      <c r="P179" s="21" t="s">
        <v>13</v>
      </c>
    </row>
    <row r="180" spans="1:16" x14ac:dyDescent="0.3">
      <c r="A180" s="21" t="s">
        <v>1228</v>
      </c>
      <c r="B180" s="21" t="s">
        <v>678</v>
      </c>
      <c r="C180" s="21" t="s">
        <v>1227</v>
      </c>
      <c r="D180" s="21" t="s">
        <v>590</v>
      </c>
      <c r="E180" s="9" t="s">
        <v>258</v>
      </c>
      <c r="F180" s="9" t="s">
        <v>721</v>
      </c>
      <c r="G180" s="9" t="s">
        <v>247</v>
      </c>
      <c r="H180" s="21" t="s">
        <v>336</v>
      </c>
      <c r="I180" s="9" t="s">
        <v>756</v>
      </c>
      <c r="J180" s="21" t="s">
        <v>248</v>
      </c>
      <c r="K180" s="21" t="s">
        <v>734</v>
      </c>
      <c r="L180" s="21" t="s">
        <v>924</v>
      </c>
      <c r="M180" s="21" t="s">
        <v>124</v>
      </c>
      <c r="N180" s="21" t="s">
        <v>15</v>
      </c>
      <c r="O180" s="21" t="s">
        <v>278</v>
      </c>
      <c r="P180" s="21" t="s">
        <v>231</v>
      </c>
    </row>
    <row r="181" spans="1:16" x14ac:dyDescent="0.3">
      <c r="A181" s="21" t="s">
        <v>1231</v>
      </c>
      <c r="B181" s="21" t="s">
        <v>502</v>
      </c>
      <c r="C181" s="21" t="s">
        <v>1229</v>
      </c>
      <c r="D181" s="9" t="s">
        <v>939</v>
      </c>
      <c r="E181" s="9" t="s">
        <v>1191</v>
      </c>
      <c r="F181" s="9" t="s">
        <v>862</v>
      </c>
      <c r="G181" s="9" t="s">
        <v>462</v>
      </c>
      <c r="H181" s="9" t="s">
        <v>951</v>
      </c>
      <c r="I181" s="9" t="s">
        <v>962</v>
      </c>
      <c r="J181" s="9" t="s">
        <v>291</v>
      </c>
      <c r="K181" s="9" t="s">
        <v>1230</v>
      </c>
      <c r="L181" s="9" t="s">
        <v>695</v>
      </c>
      <c r="M181" s="21" t="s">
        <v>231</v>
      </c>
      <c r="N181" s="21" t="s">
        <v>19</v>
      </c>
      <c r="O181" s="21" t="s">
        <v>20</v>
      </c>
      <c r="P181" s="21" t="s">
        <v>124</v>
      </c>
    </row>
    <row r="182" spans="1:16" x14ac:dyDescent="0.3">
      <c r="A182" s="22" t="s">
        <v>1234</v>
      </c>
      <c r="B182" s="9" t="s">
        <v>1016</v>
      </c>
      <c r="C182" s="9" t="s">
        <v>863</v>
      </c>
      <c r="D182" s="9" t="s">
        <v>808</v>
      </c>
      <c r="E182" s="9" t="s">
        <v>909</v>
      </c>
      <c r="F182" s="9" t="s">
        <v>456</v>
      </c>
      <c r="G182" s="9" t="s">
        <v>908</v>
      </c>
      <c r="H182" s="9" t="s">
        <v>863</v>
      </c>
      <c r="I182" s="9" t="s">
        <v>1011</v>
      </c>
      <c r="J182" s="9" t="s">
        <v>1232</v>
      </c>
      <c r="K182" s="9" t="s">
        <v>864</v>
      </c>
      <c r="L182" s="9" t="s">
        <v>1233</v>
      </c>
      <c r="M182" s="21" t="s">
        <v>16</v>
      </c>
      <c r="N182" s="21" t="s">
        <v>231</v>
      </c>
      <c r="O182" s="21" t="s">
        <v>16</v>
      </c>
      <c r="P182" s="21" t="s">
        <v>16</v>
      </c>
    </row>
    <row r="183" spans="1:16" x14ac:dyDescent="0.3">
      <c r="A183" s="23" t="s">
        <v>1238</v>
      </c>
      <c r="B183" s="8" t="s">
        <v>1235</v>
      </c>
      <c r="C183" s="21" t="s">
        <v>539</v>
      </c>
      <c r="D183" s="21" t="s">
        <v>924</v>
      </c>
      <c r="E183" s="21" t="s">
        <v>285</v>
      </c>
      <c r="F183" s="21" t="s">
        <v>1054</v>
      </c>
      <c r="G183" s="21" t="s">
        <v>211</v>
      </c>
      <c r="H183" s="21" t="s">
        <v>1236</v>
      </c>
      <c r="I183" s="8" t="s">
        <v>480</v>
      </c>
      <c r="J183" s="21" t="s">
        <v>496</v>
      </c>
      <c r="K183" s="21" t="s">
        <v>1102</v>
      </c>
      <c r="L183" s="21" t="s">
        <v>1237</v>
      </c>
      <c r="M183" s="21" t="s">
        <v>14</v>
      </c>
      <c r="N183" s="21" t="s">
        <v>13</v>
      </c>
      <c r="O183" s="21" t="s">
        <v>231</v>
      </c>
      <c r="P183" s="21" t="s">
        <v>15</v>
      </c>
    </row>
    <row r="184" spans="1:16" x14ac:dyDescent="0.3">
      <c r="A184" s="21" t="s">
        <v>1239</v>
      </c>
      <c r="B184" s="21" t="s">
        <v>682</v>
      </c>
      <c r="C184" s="21" t="s">
        <v>1120</v>
      </c>
      <c r="D184" s="21" t="s">
        <v>581</v>
      </c>
      <c r="E184" s="21" t="s">
        <v>303</v>
      </c>
      <c r="F184" s="9" t="s">
        <v>324</v>
      </c>
      <c r="G184" s="21" t="s">
        <v>889</v>
      </c>
      <c r="H184" s="21" t="s">
        <v>502</v>
      </c>
      <c r="I184" s="21" t="s">
        <v>357</v>
      </c>
      <c r="J184" s="21" t="s">
        <v>680</v>
      </c>
      <c r="K184" s="21" t="s">
        <v>858</v>
      </c>
      <c r="L184" s="21" t="s">
        <v>407</v>
      </c>
      <c r="M184" s="21" t="s">
        <v>124</v>
      </c>
      <c r="N184" s="21" t="s">
        <v>213</v>
      </c>
      <c r="O184" s="21" t="s">
        <v>318</v>
      </c>
      <c r="P184" s="21" t="s">
        <v>13</v>
      </c>
    </row>
    <row r="185" spans="1:16" x14ac:dyDescent="0.3">
      <c r="A185" s="21" t="s">
        <v>158</v>
      </c>
      <c r="B185" s="21" t="s">
        <v>1240</v>
      </c>
      <c r="C185" s="21" t="s">
        <v>568</v>
      </c>
      <c r="D185" s="21" t="s">
        <v>362</v>
      </c>
      <c r="E185" s="21" t="s">
        <v>534</v>
      </c>
      <c r="F185" s="21" t="s">
        <v>273</v>
      </c>
      <c r="G185" s="21" t="s">
        <v>385</v>
      </c>
      <c r="H185" s="21" t="s">
        <v>608</v>
      </c>
      <c r="I185" s="21" t="s">
        <v>343</v>
      </c>
      <c r="J185" s="21" t="s">
        <v>376</v>
      </c>
      <c r="K185" s="21" t="s">
        <v>1241</v>
      </c>
      <c r="L185" s="21" t="s">
        <v>1242</v>
      </c>
      <c r="M185" s="21" t="s">
        <v>15</v>
      </c>
      <c r="N185" s="21" t="s">
        <v>21</v>
      </c>
      <c r="O185" s="21" t="s">
        <v>13</v>
      </c>
      <c r="P185" s="21" t="s">
        <v>13</v>
      </c>
    </row>
    <row r="186" spans="1:16" x14ac:dyDescent="0.3">
      <c r="A186" s="21" t="s">
        <v>1245</v>
      </c>
      <c r="B186" s="21" t="s">
        <v>312</v>
      </c>
      <c r="C186" s="9" t="s">
        <v>1243</v>
      </c>
      <c r="D186" s="9" t="s">
        <v>365</v>
      </c>
      <c r="E186" s="9" t="s">
        <v>801</v>
      </c>
      <c r="F186" s="9" t="s">
        <v>801</v>
      </c>
      <c r="G186" s="9" t="s">
        <v>745</v>
      </c>
      <c r="H186" s="9" t="s">
        <v>340</v>
      </c>
      <c r="I186" s="9" t="s">
        <v>1244</v>
      </c>
      <c r="J186" s="9" t="s">
        <v>647</v>
      </c>
      <c r="K186" s="9" t="s">
        <v>413</v>
      </c>
      <c r="L186" s="9" t="s">
        <v>186</v>
      </c>
      <c r="M186" s="21" t="s">
        <v>231</v>
      </c>
      <c r="N186" s="21" t="s">
        <v>21</v>
      </c>
      <c r="O186" s="21" t="s">
        <v>18</v>
      </c>
      <c r="P186" s="21" t="s">
        <v>124</v>
      </c>
    </row>
    <row r="187" spans="1:16" x14ac:dyDescent="0.3">
      <c r="A187" s="22" t="s">
        <v>1249</v>
      </c>
      <c r="B187" s="9" t="s">
        <v>775</v>
      </c>
      <c r="C187" s="9" t="s">
        <v>1246</v>
      </c>
      <c r="D187" s="9" t="s">
        <v>1247</v>
      </c>
      <c r="E187" s="9" t="s">
        <v>1233</v>
      </c>
      <c r="F187" s="9" t="s">
        <v>1233</v>
      </c>
      <c r="G187" s="9" t="s">
        <v>1138</v>
      </c>
      <c r="H187" s="9" t="s">
        <v>1248</v>
      </c>
      <c r="I187" s="9" t="s">
        <v>1119</v>
      </c>
      <c r="J187" s="9" t="s">
        <v>652</v>
      </c>
      <c r="K187" s="21" t="s">
        <v>185</v>
      </c>
      <c r="L187" s="21" t="s">
        <v>218</v>
      </c>
      <c r="M187" s="21" t="s">
        <v>16</v>
      </c>
      <c r="N187" s="21" t="s">
        <v>16</v>
      </c>
      <c r="O187" s="21" t="s">
        <v>16</v>
      </c>
      <c r="P187" s="21" t="s">
        <v>124</v>
      </c>
    </row>
    <row r="188" spans="1:16" x14ac:dyDescent="0.3">
      <c r="A188" s="21" t="s">
        <v>1251</v>
      </c>
      <c r="B188" s="21" t="s">
        <v>460</v>
      </c>
      <c r="C188" s="21" t="s">
        <v>835</v>
      </c>
      <c r="D188" s="21" t="s">
        <v>844</v>
      </c>
      <c r="E188" s="21" t="s">
        <v>261</v>
      </c>
      <c r="F188" s="21" t="s">
        <v>508</v>
      </c>
      <c r="G188" s="21" t="s">
        <v>527</v>
      </c>
      <c r="H188" s="21" t="s">
        <v>719</v>
      </c>
      <c r="I188" s="21" t="s">
        <v>533</v>
      </c>
      <c r="J188" s="9" t="s">
        <v>500</v>
      </c>
      <c r="K188" s="21" t="s">
        <v>1250</v>
      </c>
      <c r="L188" s="21" t="s">
        <v>296</v>
      </c>
      <c r="M188" s="21" t="s">
        <v>470</v>
      </c>
      <c r="N188" s="21" t="s">
        <v>231</v>
      </c>
      <c r="O188" s="21" t="s">
        <v>278</v>
      </c>
      <c r="P188" s="21" t="s">
        <v>122</v>
      </c>
    </row>
    <row r="189" spans="1:16" x14ac:dyDescent="0.3">
      <c r="A189" s="21" t="s">
        <v>1253</v>
      </c>
      <c r="B189" s="21" t="s">
        <v>191</v>
      </c>
      <c r="C189" s="21" t="s">
        <v>719</v>
      </c>
      <c r="D189" s="21" t="s">
        <v>388</v>
      </c>
      <c r="E189" s="9" t="s">
        <v>358</v>
      </c>
      <c r="F189" s="9" t="s">
        <v>847</v>
      </c>
      <c r="G189" s="21" t="s">
        <v>680</v>
      </c>
      <c r="H189" s="21" t="s">
        <v>1027</v>
      </c>
      <c r="I189" s="21" t="s">
        <v>325</v>
      </c>
      <c r="J189" s="21" t="s">
        <v>400</v>
      </c>
      <c r="K189" s="21" t="s">
        <v>589</v>
      </c>
      <c r="L189" s="9" t="s">
        <v>1252</v>
      </c>
      <c r="M189" s="21" t="s">
        <v>124</v>
      </c>
      <c r="N189" s="21" t="s">
        <v>231</v>
      </c>
      <c r="O189" s="21" t="s">
        <v>213</v>
      </c>
      <c r="P189" s="21" t="s">
        <v>231</v>
      </c>
    </row>
    <row r="190" spans="1:16" x14ac:dyDescent="0.3">
      <c r="A190" s="21" t="s">
        <v>1257</v>
      </c>
      <c r="B190" s="21" t="s">
        <v>322</v>
      </c>
      <c r="C190" s="21" t="s">
        <v>601</v>
      </c>
      <c r="D190" s="21" t="s">
        <v>294</v>
      </c>
      <c r="E190" s="21" t="s">
        <v>447</v>
      </c>
      <c r="F190" s="21" t="s">
        <v>384</v>
      </c>
      <c r="G190" s="21" t="s">
        <v>476</v>
      </c>
      <c r="H190" s="21" t="s">
        <v>561</v>
      </c>
      <c r="I190" s="21" t="s">
        <v>919</v>
      </c>
      <c r="J190" s="9" t="s">
        <v>1254</v>
      </c>
      <c r="K190" s="9" t="s">
        <v>1255</v>
      </c>
      <c r="L190" s="9" t="s">
        <v>1256</v>
      </c>
      <c r="M190" s="21" t="s">
        <v>231</v>
      </c>
      <c r="N190" s="21" t="s">
        <v>19</v>
      </c>
      <c r="O190" s="21" t="s">
        <v>231</v>
      </c>
      <c r="P190" s="21" t="s">
        <v>231</v>
      </c>
    </row>
    <row r="191" spans="1:16" x14ac:dyDescent="0.3">
      <c r="A191" s="21" t="s">
        <v>1258</v>
      </c>
      <c r="B191" s="21" t="s">
        <v>460</v>
      </c>
      <c r="C191" s="21" t="s">
        <v>835</v>
      </c>
      <c r="D191" s="21" t="s">
        <v>844</v>
      </c>
      <c r="E191" s="21" t="s">
        <v>719</v>
      </c>
      <c r="F191" s="21" t="s">
        <v>516</v>
      </c>
      <c r="G191" s="21" t="s">
        <v>822</v>
      </c>
      <c r="H191" s="21" t="s">
        <v>415</v>
      </c>
      <c r="I191" s="21" t="s">
        <v>710</v>
      </c>
      <c r="J191" s="9" t="s">
        <v>500</v>
      </c>
      <c r="K191" s="21" t="s">
        <v>1250</v>
      </c>
      <c r="L191" s="21" t="s">
        <v>296</v>
      </c>
      <c r="M191" s="21" t="s">
        <v>470</v>
      </c>
      <c r="N191" s="21" t="s">
        <v>231</v>
      </c>
      <c r="O191" s="21" t="s">
        <v>278</v>
      </c>
      <c r="P191" s="21" t="s">
        <v>122</v>
      </c>
    </row>
    <row r="192" spans="1:16" x14ac:dyDescent="0.3">
      <c r="A192" s="21" t="s">
        <v>159</v>
      </c>
      <c r="B192" s="21" t="s">
        <v>268</v>
      </c>
      <c r="C192" s="21" t="s">
        <v>466</v>
      </c>
      <c r="D192" s="21" t="s">
        <v>1259</v>
      </c>
      <c r="E192" s="21" t="s">
        <v>242</v>
      </c>
      <c r="F192" s="21" t="s">
        <v>1197</v>
      </c>
      <c r="G192" s="21" t="s">
        <v>1071</v>
      </c>
      <c r="H192" s="21" t="s">
        <v>201</v>
      </c>
      <c r="I192" s="21" t="s">
        <v>680</v>
      </c>
      <c r="J192" s="21" t="s">
        <v>534</v>
      </c>
      <c r="K192" s="21" t="s">
        <v>281</v>
      </c>
      <c r="L192" s="21" t="s">
        <v>281</v>
      </c>
      <c r="M192" s="21" t="s">
        <v>278</v>
      </c>
      <c r="N192" s="21" t="s">
        <v>15</v>
      </c>
      <c r="O192" s="21" t="s">
        <v>213</v>
      </c>
      <c r="P192" s="21" t="s">
        <v>13</v>
      </c>
    </row>
    <row r="193" spans="1:16" x14ac:dyDescent="0.3">
      <c r="A193" s="22" t="s">
        <v>1265</v>
      </c>
      <c r="B193" s="9" t="s">
        <v>611</v>
      </c>
      <c r="C193" s="9" t="s">
        <v>1222</v>
      </c>
      <c r="D193" s="9" t="s">
        <v>772</v>
      </c>
      <c r="E193" s="9" t="s">
        <v>1192</v>
      </c>
      <c r="F193" s="21" t="s">
        <v>930</v>
      </c>
      <c r="G193" s="21" t="s">
        <v>392</v>
      </c>
      <c r="H193" s="8" t="s">
        <v>1260</v>
      </c>
      <c r="I193" s="8" t="s">
        <v>1261</v>
      </c>
      <c r="J193" s="8" t="s">
        <v>1262</v>
      </c>
      <c r="K193" s="8" t="s">
        <v>1263</v>
      </c>
      <c r="L193" s="21" t="s">
        <v>1264</v>
      </c>
      <c r="M193" s="21" t="s">
        <v>213</v>
      </c>
      <c r="N193" s="21" t="s">
        <v>382</v>
      </c>
      <c r="O193" s="21" t="s">
        <v>16</v>
      </c>
      <c r="P193" s="21" t="s">
        <v>16</v>
      </c>
    </row>
    <row r="194" spans="1:16" x14ac:dyDescent="0.3">
      <c r="A194" s="21" t="s">
        <v>1268</v>
      </c>
      <c r="B194" s="21" t="s">
        <v>947</v>
      </c>
      <c r="C194" s="21" t="s">
        <v>398</v>
      </c>
      <c r="D194" s="9" t="s">
        <v>208</v>
      </c>
      <c r="E194" s="9" t="s">
        <v>1266</v>
      </c>
      <c r="F194" s="9" t="s">
        <v>1267</v>
      </c>
      <c r="G194" s="9" t="s">
        <v>239</v>
      </c>
      <c r="H194" s="9" t="s">
        <v>739</v>
      </c>
      <c r="I194" s="9" t="s">
        <v>739</v>
      </c>
      <c r="J194" s="21" t="s">
        <v>1184</v>
      </c>
      <c r="K194" s="21" t="s">
        <v>188</v>
      </c>
      <c r="L194" s="21" t="s">
        <v>576</v>
      </c>
      <c r="M194" s="21" t="s">
        <v>231</v>
      </c>
      <c r="N194" s="21" t="s">
        <v>18</v>
      </c>
      <c r="O194" s="21" t="s">
        <v>318</v>
      </c>
      <c r="P194" s="21" t="s">
        <v>124</v>
      </c>
    </row>
    <row r="195" spans="1:16" x14ac:dyDescent="0.3">
      <c r="A195" s="21" t="s">
        <v>1271</v>
      </c>
      <c r="B195" s="21" t="s">
        <v>543</v>
      </c>
      <c r="C195" s="21" t="s">
        <v>975</v>
      </c>
      <c r="D195" s="21" t="s">
        <v>268</v>
      </c>
      <c r="E195" s="21" t="s">
        <v>399</v>
      </c>
      <c r="F195" s="21" t="s">
        <v>465</v>
      </c>
      <c r="G195" s="21" t="s">
        <v>202</v>
      </c>
      <c r="H195" s="21" t="s">
        <v>386</v>
      </c>
      <c r="I195" s="21" t="s">
        <v>657</v>
      </c>
      <c r="J195" s="8" t="s">
        <v>1269</v>
      </c>
      <c r="K195" s="21" t="s">
        <v>1270</v>
      </c>
      <c r="L195" s="21" t="s">
        <v>393</v>
      </c>
      <c r="M195" s="21" t="s">
        <v>15</v>
      </c>
      <c r="N195" s="21" t="s">
        <v>318</v>
      </c>
      <c r="O195" s="21" t="s">
        <v>124</v>
      </c>
      <c r="P195" s="21" t="s">
        <v>231</v>
      </c>
    </row>
    <row r="196" spans="1:16" x14ac:dyDescent="0.3">
      <c r="A196" s="21" t="s">
        <v>1273</v>
      </c>
      <c r="B196" s="21" t="s">
        <v>325</v>
      </c>
      <c r="C196" s="21" t="s">
        <v>562</v>
      </c>
      <c r="D196" s="21" t="s">
        <v>474</v>
      </c>
      <c r="E196" s="21" t="s">
        <v>264</v>
      </c>
      <c r="F196" s="21" t="s">
        <v>708</v>
      </c>
      <c r="G196" s="9" t="s">
        <v>1272</v>
      </c>
      <c r="H196" s="9" t="s">
        <v>289</v>
      </c>
      <c r="I196" s="9" t="s">
        <v>648</v>
      </c>
      <c r="J196" s="9" t="s">
        <v>648</v>
      </c>
      <c r="K196" s="9" t="s">
        <v>718</v>
      </c>
      <c r="L196" s="9" t="s">
        <v>718</v>
      </c>
      <c r="M196" s="21" t="s">
        <v>278</v>
      </c>
      <c r="N196" s="21" t="s">
        <v>16</v>
      </c>
      <c r="O196" s="21" t="s">
        <v>231</v>
      </c>
      <c r="P196" s="21" t="s">
        <v>16</v>
      </c>
    </row>
    <row r="197" spans="1:16" x14ac:dyDescent="0.3">
      <c r="A197" s="21" t="s">
        <v>1274</v>
      </c>
      <c r="B197" s="21" t="s">
        <v>1083</v>
      </c>
      <c r="C197" s="21" t="s">
        <v>276</v>
      </c>
      <c r="D197" s="21" t="s">
        <v>1149</v>
      </c>
      <c r="E197" s="21" t="s">
        <v>285</v>
      </c>
      <c r="F197" s="21" t="s">
        <v>601</v>
      </c>
      <c r="G197" s="21" t="s">
        <v>590</v>
      </c>
      <c r="H197" s="21" t="s">
        <v>1020</v>
      </c>
      <c r="I197" s="9" t="s">
        <v>186</v>
      </c>
      <c r="J197" s="21" t="s">
        <v>325</v>
      </c>
      <c r="K197" s="21" t="s">
        <v>481</v>
      </c>
      <c r="L197" s="8" t="s">
        <v>654</v>
      </c>
      <c r="M197" s="21" t="s">
        <v>231</v>
      </c>
      <c r="N197" s="21" t="s">
        <v>318</v>
      </c>
      <c r="O197" s="21" t="s">
        <v>318</v>
      </c>
      <c r="P197" s="21" t="s">
        <v>318</v>
      </c>
    </row>
    <row r="198" spans="1:16" x14ac:dyDescent="0.3">
      <c r="A198" s="22" t="s">
        <v>1279</v>
      </c>
      <c r="B198" s="9" t="s">
        <v>462</v>
      </c>
      <c r="C198" s="9" t="s">
        <v>245</v>
      </c>
      <c r="D198" s="9" t="s">
        <v>245</v>
      </c>
      <c r="E198" s="9" t="s">
        <v>1275</v>
      </c>
      <c r="F198" s="9" t="s">
        <v>1276</v>
      </c>
      <c r="G198" s="9" t="s">
        <v>1277</v>
      </c>
      <c r="H198" s="9" t="s">
        <v>936</v>
      </c>
      <c r="I198" s="9" t="s">
        <v>936</v>
      </c>
      <c r="J198" s="9" t="s">
        <v>692</v>
      </c>
      <c r="K198" s="9" t="s">
        <v>596</v>
      </c>
      <c r="L198" s="9" t="s">
        <v>1278</v>
      </c>
      <c r="M198" s="21" t="s">
        <v>231</v>
      </c>
      <c r="N198" s="21" t="s">
        <v>16</v>
      </c>
      <c r="O198" s="21" t="s">
        <v>278</v>
      </c>
      <c r="P198" s="21" t="s">
        <v>231</v>
      </c>
    </row>
    <row r="199" spans="1:16" x14ac:dyDescent="0.3">
      <c r="A199" s="22" t="s">
        <v>1283</v>
      </c>
      <c r="B199" s="9" t="s">
        <v>651</v>
      </c>
      <c r="C199" s="9" t="s">
        <v>366</v>
      </c>
      <c r="D199" s="21" t="s">
        <v>576</v>
      </c>
      <c r="E199" s="21" t="s">
        <v>1174</v>
      </c>
      <c r="F199" s="9" t="s">
        <v>828</v>
      </c>
      <c r="G199" s="21" t="s">
        <v>476</v>
      </c>
      <c r="H199" s="21" t="s">
        <v>1043</v>
      </c>
      <c r="I199" s="21" t="s">
        <v>1280</v>
      </c>
      <c r="J199" s="21" t="s">
        <v>1281</v>
      </c>
      <c r="K199" s="8" t="s">
        <v>767</v>
      </c>
      <c r="L199" s="21" t="s">
        <v>1282</v>
      </c>
      <c r="M199" s="21" t="s">
        <v>21</v>
      </c>
      <c r="N199" s="21" t="s">
        <v>382</v>
      </c>
      <c r="O199" s="21" t="s">
        <v>124</v>
      </c>
      <c r="P199" s="21" t="s">
        <v>19</v>
      </c>
    </row>
    <row r="200" spans="1:16" x14ac:dyDescent="0.3">
      <c r="A200" s="21" t="s">
        <v>1284</v>
      </c>
      <c r="B200" s="21" t="s">
        <v>597</v>
      </c>
      <c r="C200" s="21" t="s">
        <v>857</v>
      </c>
      <c r="D200" s="21" t="s">
        <v>854</v>
      </c>
      <c r="E200" s="21" t="s">
        <v>968</v>
      </c>
      <c r="F200" s="21" t="s">
        <v>686</v>
      </c>
      <c r="G200" s="21" t="s">
        <v>1023</v>
      </c>
      <c r="H200" s="21" t="s">
        <v>1028</v>
      </c>
      <c r="I200" s="21" t="s">
        <v>513</v>
      </c>
      <c r="J200" s="21" t="s">
        <v>173</v>
      </c>
      <c r="K200" s="21" t="s">
        <v>381</v>
      </c>
      <c r="L200" s="21" t="s">
        <v>956</v>
      </c>
      <c r="M200" s="21" t="s">
        <v>213</v>
      </c>
      <c r="N200" s="21" t="s">
        <v>124</v>
      </c>
      <c r="O200" s="21" t="s">
        <v>124</v>
      </c>
      <c r="P200" s="21" t="s">
        <v>19</v>
      </c>
    </row>
    <row r="201" spans="1:16" x14ac:dyDescent="0.3">
      <c r="A201" s="22" t="s">
        <v>1288</v>
      </c>
      <c r="B201" s="9" t="s">
        <v>1285</v>
      </c>
      <c r="C201" s="9" t="s">
        <v>832</v>
      </c>
      <c r="D201" s="9" t="s">
        <v>934</v>
      </c>
      <c r="E201" s="9" t="s">
        <v>909</v>
      </c>
      <c r="F201" s="21" t="s">
        <v>296</v>
      </c>
      <c r="G201" s="21" t="s">
        <v>466</v>
      </c>
      <c r="H201" s="9" t="s">
        <v>1086</v>
      </c>
      <c r="I201" s="9" t="s">
        <v>865</v>
      </c>
      <c r="J201" s="21" t="s">
        <v>1286</v>
      </c>
      <c r="K201" s="9" t="s">
        <v>1287</v>
      </c>
      <c r="L201" s="9" t="s">
        <v>936</v>
      </c>
      <c r="M201" s="21" t="s">
        <v>16</v>
      </c>
      <c r="N201" s="21" t="s">
        <v>470</v>
      </c>
      <c r="O201" s="21" t="s">
        <v>124</v>
      </c>
      <c r="P201" s="21" t="s">
        <v>231</v>
      </c>
    </row>
    <row r="202" spans="1:16" x14ac:dyDescent="0.3">
      <c r="A202" s="21" t="s">
        <v>1289</v>
      </c>
      <c r="B202" s="21" t="s">
        <v>1083</v>
      </c>
      <c r="C202" s="21" t="s">
        <v>276</v>
      </c>
      <c r="D202" s="21" t="s">
        <v>1149</v>
      </c>
      <c r="E202" s="21" t="s">
        <v>285</v>
      </c>
      <c r="F202" s="21" t="s">
        <v>601</v>
      </c>
      <c r="G202" s="21" t="s">
        <v>590</v>
      </c>
      <c r="H202" s="21" t="s">
        <v>1020</v>
      </c>
      <c r="I202" s="9" t="s">
        <v>186</v>
      </c>
      <c r="J202" s="21" t="s">
        <v>325</v>
      </c>
      <c r="K202" s="21" t="s">
        <v>481</v>
      </c>
      <c r="L202" s="21" t="s">
        <v>606</v>
      </c>
      <c r="M202" s="21" t="s">
        <v>231</v>
      </c>
      <c r="N202" s="21" t="s">
        <v>318</v>
      </c>
      <c r="O202" s="21" t="s">
        <v>318</v>
      </c>
      <c r="P202" s="21" t="s">
        <v>16</v>
      </c>
    </row>
    <row r="203" spans="1:16" x14ac:dyDescent="0.3">
      <c r="A203" s="22" t="s">
        <v>1290</v>
      </c>
      <c r="B203" s="9" t="s">
        <v>351</v>
      </c>
      <c r="C203" s="9" t="s">
        <v>253</v>
      </c>
      <c r="D203" s="9" t="s">
        <v>414</v>
      </c>
      <c r="E203" s="9" t="s">
        <v>692</v>
      </c>
      <c r="F203" s="9" t="s">
        <v>292</v>
      </c>
      <c r="G203" s="9" t="s">
        <v>613</v>
      </c>
      <c r="H203" s="9" t="s">
        <v>786</v>
      </c>
      <c r="I203" s="9" t="s">
        <v>756</v>
      </c>
      <c r="J203" s="21" t="s">
        <v>590</v>
      </c>
      <c r="K203" s="21" t="s">
        <v>357</v>
      </c>
      <c r="L203" s="9" t="s">
        <v>847</v>
      </c>
      <c r="M203" s="21" t="s">
        <v>213</v>
      </c>
      <c r="N203" s="21" t="s">
        <v>213</v>
      </c>
      <c r="O203" s="21" t="s">
        <v>20</v>
      </c>
      <c r="P203" s="21" t="s">
        <v>231</v>
      </c>
    </row>
    <row r="204" spans="1:16" x14ac:dyDescent="0.3">
      <c r="A204" s="21" t="s">
        <v>1294</v>
      </c>
      <c r="B204" s="21" t="s">
        <v>1264</v>
      </c>
      <c r="C204" s="21" t="s">
        <v>806</v>
      </c>
      <c r="D204" s="21" t="s">
        <v>265</v>
      </c>
      <c r="E204" s="21" t="s">
        <v>362</v>
      </c>
      <c r="F204" s="21" t="s">
        <v>458</v>
      </c>
      <c r="G204" s="21" t="s">
        <v>1291</v>
      </c>
      <c r="H204" s="21" t="s">
        <v>620</v>
      </c>
      <c r="I204" s="21" t="s">
        <v>252</v>
      </c>
      <c r="J204" s="21" t="s">
        <v>836</v>
      </c>
      <c r="K204" s="21" t="s">
        <v>1292</v>
      </c>
      <c r="L204" s="21" t="s">
        <v>1293</v>
      </c>
      <c r="M204" s="21" t="s">
        <v>15</v>
      </c>
      <c r="N204" s="21" t="s">
        <v>213</v>
      </c>
      <c r="O204" s="21" t="s">
        <v>318</v>
      </c>
      <c r="P204" s="21" t="s">
        <v>21</v>
      </c>
    </row>
    <row r="205" spans="1:17" x14ac:dyDescent="0.3">
      <c r="A205" s="21" t="s">
        <v>160</v>
      </c>
      <c r="B205" s="21" t="s">
        <v>1295</v>
      </c>
      <c r="C205" s="21" t="s">
        <v>616</v>
      </c>
      <c r="D205" s="21" t="s">
        <v>1296</v>
      </c>
      <c r="E205" s="21" t="s">
        <v>1055</v>
      </c>
      <c r="F205" s="21" t="s">
        <v>1282</v>
      </c>
      <c r="G205" s="21" t="s">
        <v>1297</v>
      </c>
      <c r="H205" s="21" t="s">
        <v>578</v>
      </c>
      <c r="I205" s="21" t="s">
        <v>1104</v>
      </c>
      <c r="J205" s="21" t="s">
        <v>984</v>
      </c>
      <c r="K205" s="21" t="s">
        <v>1136</v>
      </c>
      <c r="L205" s="21" t="s">
        <v>516</v>
      </c>
      <c r="M205" s="21" t="s">
        <v>123</v>
      </c>
      <c r="N205" s="21" t="s">
        <v>382</v>
      </c>
      <c r="O205" s="21" t="s">
        <v>231</v>
      </c>
      <c r="P205" s="21" t="s">
        <v>278</v>
      </c>
    </row>
    <row r="206" spans="1:17" x14ac:dyDescent="0.3">
      <c r="A206" s="21" t="s">
        <v>161</v>
      </c>
      <c r="B206" s="21" t="s">
        <v>584</v>
      </c>
      <c r="C206" s="21" t="s">
        <v>343</v>
      </c>
      <c r="D206" s="21" t="s">
        <v>273</v>
      </c>
      <c r="E206" s="21" t="s">
        <v>584</v>
      </c>
      <c r="F206" s="21" t="s">
        <v>343</v>
      </c>
      <c r="G206" s="21" t="s">
        <v>1092</v>
      </c>
      <c r="H206" s="21" t="s">
        <v>177</v>
      </c>
      <c r="I206" s="21" t="s">
        <v>1092</v>
      </c>
      <c r="J206" s="21" t="s">
        <v>1092</v>
      </c>
      <c r="K206" s="21" t="s">
        <v>1298</v>
      </c>
      <c r="L206" s="21" t="s">
        <v>273</v>
      </c>
      <c r="M206" s="21" t="s">
        <v>16</v>
      </c>
      <c r="N206" s="21" t="s">
        <v>21</v>
      </c>
      <c r="O206" s="21" t="s">
        <v>21</v>
      </c>
      <c r="P206" s="21" t="s">
        <v>16</v>
      </c>
    </row>
    <row r="207" spans="1:17" x14ac:dyDescent="0.3">
      <c r="A207" s="21" t="s">
        <v>1304</v>
      </c>
      <c r="B207" s="21" t="s">
        <v>1299</v>
      </c>
      <c r="C207" s="21" t="s">
        <v>844</v>
      </c>
      <c r="D207" s="21" t="s">
        <v>520</v>
      </c>
      <c r="E207" s="21" t="s">
        <v>1300</v>
      </c>
      <c r="F207" s="21" t="s">
        <v>1301</v>
      </c>
      <c r="G207" s="21" t="s">
        <v>1302</v>
      </c>
      <c r="H207" s="9" t="s">
        <v>879</v>
      </c>
      <c r="I207" s="9" t="s">
        <v>1272</v>
      </c>
      <c r="J207" s="9" t="s">
        <v>429</v>
      </c>
      <c r="K207" s="9" t="s">
        <v>739</v>
      </c>
      <c r="L207" s="21" t="s">
        <v>1303</v>
      </c>
      <c r="M207" s="21" t="s">
        <v>928</v>
      </c>
      <c r="N207" s="21" t="s">
        <v>21</v>
      </c>
      <c r="O207" s="21" t="s">
        <v>278</v>
      </c>
      <c r="P207" s="21" t="s">
        <v>382</v>
      </c>
      <c r="Q207" s="21" t="s">
        <v>230</v>
      </c>
    </row>
    <row r="208" spans="1:17" x14ac:dyDescent="0.3">
      <c r="A208" s="21" t="s">
        <v>1307</v>
      </c>
      <c r="B208" s="21" t="s">
        <v>1197</v>
      </c>
      <c r="C208" s="21" t="s">
        <v>537</v>
      </c>
      <c r="D208" s="21" t="s">
        <v>1305</v>
      </c>
      <c r="E208" s="21" t="s">
        <v>607</v>
      </c>
      <c r="F208" s="21" t="s">
        <v>369</v>
      </c>
      <c r="G208" s="21" t="s">
        <v>1306</v>
      </c>
      <c r="H208" s="21" t="s">
        <v>287</v>
      </c>
      <c r="I208" s="21" t="s">
        <v>1127</v>
      </c>
      <c r="J208" s="21" t="s">
        <v>264</v>
      </c>
      <c r="K208" s="21" t="s">
        <v>226</v>
      </c>
      <c r="L208" s="21" t="s">
        <v>887</v>
      </c>
      <c r="M208" s="21" t="s">
        <v>16</v>
      </c>
      <c r="N208" s="21" t="s">
        <v>19</v>
      </c>
      <c r="O208" s="21" t="s">
        <v>278</v>
      </c>
      <c r="P208" s="21" t="s">
        <v>16</v>
      </c>
    </row>
    <row r="209" spans="1:17" x14ac:dyDescent="0.3">
      <c r="A209" s="21" t="s">
        <v>162</v>
      </c>
      <c r="B209" s="21" t="s">
        <v>517</v>
      </c>
      <c r="C209" s="21" t="s">
        <v>1308</v>
      </c>
      <c r="D209" s="21" t="s">
        <v>948</v>
      </c>
      <c r="E209" s="21" t="s">
        <v>215</v>
      </c>
      <c r="F209" s="21" t="s">
        <v>544</v>
      </c>
      <c r="G209" s="21" t="s">
        <v>1214</v>
      </c>
      <c r="H209" s="21" t="s">
        <v>849</v>
      </c>
      <c r="I209" s="21" t="s">
        <v>327</v>
      </c>
      <c r="J209" s="21" t="s">
        <v>793</v>
      </c>
      <c r="K209" s="21" t="s">
        <v>264</v>
      </c>
      <c r="L209" s="21" t="s">
        <v>1309</v>
      </c>
      <c r="M209" s="21" t="s">
        <v>278</v>
      </c>
      <c r="N209" s="21" t="s">
        <v>18</v>
      </c>
      <c r="O209" s="21" t="s">
        <v>13</v>
      </c>
      <c r="P209" s="21" t="s">
        <v>15</v>
      </c>
    </row>
    <row r="210" spans="1:17" x14ac:dyDescent="0.3">
      <c r="A210" s="21" t="s">
        <v>163</v>
      </c>
      <c r="B210" s="21" t="s">
        <v>276</v>
      </c>
      <c r="C210" s="21" t="s">
        <v>379</v>
      </c>
      <c r="D210" s="21" t="s">
        <v>1310</v>
      </c>
      <c r="E210" s="21" t="s">
        <v>540</v>
      </c>
      <c r="F210" s="21" t="s">
        <v>1214</v>
      </c>
      <c r="G210" s="21" t="s">
        <v>494</v>
      </c>
      <c r="H210" s="21" t="s">
        <v>390</v>
      </c>
      <c r="I210" s="21" t="s">
        <v>517</v>
      </c>
      <c r="J210" s="21" t="s">
        <v>1215</v>
      </c>
      <c r="K210" s="21" t="s">
        <v>575</v>
      </c>
      <c r="L210" s="21" t="s">
        <v>299</v>
      </c>
      <c r="M210" s="21" t="s">
        <v>124</v>
      </c>
      <c r="N210" s="21" t="s">
        <v>213</v>
      </c>
      <c r="O210" s="21" t="s">
        <v>124</v>
      </c>
      <c r="P210" s="21" t="s">
        <v>15</v>
      </c>
    </row>
    <row r="211" spans="1:17" x14ac:dyDescent="0.3">
      <c r="A211" s="21" t="s">
        <v>164</v>
      </c>
      <c r="B211" s="21" t="s">
        <v>327</v>
      </c>
      <c r="C211" s="21" t="s">
        <v>527</v>
      </c>
      <c r="D211" s="21" t="s">
        <v>281</v>
      </c>
      <c r="E211" s="21" t="s">
        <v>534</v>
      </c>
      <c r="F211" s="21" t="s">
        <v>557</v>
      </c>
      <c r="G211" s="21" t="s">
        <v>719</v>
      </c>
      <c r="H211" s="21" t="s">
        <v>680</v>
      </c>
      <c r="I211" s="21" t="s">
        <v>20</v>
      </c>
      <c r="J211" s="21" t="s">
        <v>14</v>
      </c>
      <c r="K211" s="21" t="s">
        <v>19</v>
      </c>
      <c r="L211" s="21" t="s">
        <v>18</v>
      </c>
    </row>
    <row r="212" spans="1:17" x14ac:dyDescent="0.3">
      <c r="A212" s="21" t="s">
        <v>165</v>
      </c>
      <c r="B212" s="21" t="s">
        <v>527</v>
      </c>
      <c r="C212" s="21" t="s">
        <v>281</v>
      </c>
      <c r="D212" s="21" t="s">
        <v>534</v>
      </c>
      <c r="E212" s="21" t="s">
        <v>557</v>
      </c>
      <c r="F212" s="21" t="s">
        <v>719</v>
      </c>
      <c r="G212" s="21" t="s">
        <v>16</v>
      </c>
      <c r="H212" s="21" t="s">
        <v>20</v>
      </c>
      <c r="I212" s="21" t="s">
        <v>14</v>
      </c>
      <c r="J212" s="21" t="s">
        <v>19</v>
      </c>
    </row>
    <row r="213" spans="1:17" x14ac:dyDescent="0.3">
      <c r="A213" s="21" t="s">
        <v>1313</v>
      </c>
      <c r="B213" s="21" t="s">
        <v>1076</v>
      </c>
      <c r="C213" s="21" t="s">
        <v>1311</v>
      </c>
      <c r="D213" s="8" t="s">
        <v>1312</v>
      </c>
      <c r="E213" s="21" t="s">
        <v>1300</v>
      </c>
      <c r="F213" s="21" t="s">
        <v>624</v>
      </c>
      <c r="G213" s="21" t="s">
        <v>251</v>
      </c>
      <c r="H213" s="21" t="s">
        <v>723</v>
      </c>
      <c r="I213" s="21" t="s">
        <v>297</v>
      </c>
      <c r="J213" s="21" t="s">
        <v>445</v>
      </c>
      <c r="K213" s="21" t="s">
        <v>390</v>
      </c>
      <c r="L213" s="21" t="s">
        <v>1303</v>
      </c>
      <c r="M213" s="21" t="s">
        <v>213</v>
      </c>
      <c r="N213" s="21" t="s">
        <v>230</v>
      </c>
      <c r="O213" s="21" t="s">
        <v>382</v>
      </c>
      <c r="P213" s="21" t="s">
        <v>314</v>
      </c>
    </row>
    <row r="214" spans="1:17" x14ac:dyDescent="0.3">
      <c r="A214" s="21" t="s">
        <v>166</v>
      </c>
      <c r="B214" s="21" t="s">
        <v>597</v>
      </c>
      <c r="C214" s="21" t="s">
        <v>576</v>
      </c>
      <c r="D214" s="21" t="s">
        <v>518</v>
      </c>
      <c r="E214" s="21" t="s">
        <v>210</v>
      </c>
      <c r="F214" s="21" t="s">
        <v>588</v>
      </c>
      <c r="G214" s="21" t="s">
        <v>683</v>
      </c>
      <c r="H214" s="21" t="s">
        <v>1314</v>
      </c>
      <c r="I214" s="21" t="s">
        <v>262</v>
      </c>
      <c r="J214" s="21" t="s">
        <v>509</v>
      </c>
      <c r="K214" s="21" t="s">
        <v>1087</v>
      </c>
      <c r="L214" s="21" t="s">
        <v>747</v>
      </c>
      <c r="M214" s="21" t="s">
        <v>18</v>
      </c>
      <c r="N214" s="21" t="s">
        <v>124</v>
      </c>
      <c r="O214" s="21" t="s">
        <v>14</v>
      </c>
      <c r="P214" s="21" t="s">
        <v>213</v>
      </c>
    </row>
    <row r="215" spans="1:17" x14ac:dyDescent="0.3">
      <c r="A215" s="21" t="s">
        <v>167</v>
      </c>
      <c r="B215" s="21" t="s">
        <v>359</v>
      </c>
      <c r="C215" s="21" t="s">
        <v>1315</v>
      </c>
      <c r="D215" s="21" t="s">
        <v>707</v>
      </c>
      <c r="E215" s="21" t="s">
        <v>264</v>
      </c>
      <c r="F215" s="21" t="s">
        <v>707</v>
      </c>
      <c r="G215" s="21" t="s">
        <v>264</v>
      </c>
      <c r="H215" s="21" t="s">
        <v>735</v>
      </c>
      <c r="I215" s="21" t="s">
        <v>677</v>
      </c>
      <c r="J215" s="21" t="s">
        <v>707</v>
      </c>
      <c r="K215" s="21" t="s">
        <v>264</v>
      </c>
      <c r="L215" s="21" t="s">
        <v>198</v>
      </c>
      <c r="M215" s="21" t="s">
        <v>21</v>
      </c>
      <c r="N215" s="21" t="s">
        <v>231</v>
      </c>
      <c r="O215" s="21" t="s">
        <v>124</v>
      </c>
      <c r="P215" s="21" t="s">
        <v>124</v>
      </c>
    </row>
    <row r="216" spans="1:17" x14ac:dyDescent="0.3">
      <c r="A216" s="23" t="s">
        <v>1321</v>
      </c>
      <c r="B216" s="8" t="s">
        <v>1316</v>
      </c>
      <c r="C216" s="8" t="s">
        <v>1317</v>
      </c>
      <c r="D216" s="8" t="s">
        <v>1318</v>
      </c>
      <c r="E216" s="8" t="s">
        <v>1319</v>
      </c>
      <c r="F216" s="21" t="s">
        <v>620</v>
      </c>
      <c r="G216" s="21" t="s">
        <v>722</v>
      </c>
      <c r="H216" s="9" t="s">
        <v>702</v>
      </c>
      <c r="I216" s="9" t="s">
        <v>1320</v>
      </c>
      <c r="J216" s="9" t="s">
        <v>639</v>
      </c>
      <c r="K216" s="9" t="s">
        <v>352</v>
      </c>
      <c r="L216" s="9" t="s">
        <v>352</v>
      </c>
      <c r="M216" s="21" t="s">
        <v>14</v>
      </c>
      <c r="N216" s="21" t="s">
        <v>18</v>
      </c>
      <c r="O216" s="21" t="s">
        <v>314</v>
      </c>
      <c r="P216" s="21" t="s">
        <v>231</v>
      </c>
    </row>
    <row r="217" spans="1:17" x14ac:dyDescent="0.3">
      <c r="A217" s="21" t="s">
        <v>1325</v>
      </c>
      <c r="B217" s="21" t="s">
        <v>678</v>
      </c>
      <c r="C217" s="21" t="s">
        <v>543</v>
      </c>
      <c r="D217" s="21" t="s">
        <v>1033</v>
      </c>
      <c r="E217" s="21" t="s">
        <v>1322</v>
      </c>
      <c r="F217" s="21" t="s">
        <v>1323</v>
      </c>
      <c r="G217" s="21" t="s">
        <v>535</v>
      </c>
      <c r="H217" s="21" t="s">
        <v>1324</v>
      </c>
      <c r="I217" s="21" t="s">
        <v>255</v>
      </c>
      <c r="J217" s="21" t="s">
        <v>921</v>
      </c>
      <c r="K217" s="21" t="s">
        <v>1302</v>
      </c>
      <c r="L217" s="9" t="s">
        <v>647</v>
      </c>
      <c r="M217" s="21" t="s">
        <v>278</v>
      </c>
      <c r="N217" s="21" t="s">
        <v>124</v>
      </c>
      <c r="O217" s="21" t="s">
        <v>124</v>
      </c>
      <c r="P217" s="21" t="s">
        <v>231</v>
      </c>
    </row>
    <row r="218" spans="1:17" x14ac:dyDescent="0.3">
      <c r="A218" s="21" t="s">
        <v>1330</v>
      </c>
      <c r="B218" s="21" t="s">
        <v>1073</v>
      </c>
      <c r="C218" s="21" t="s">
        <v>401</v>
      </c>
      <c r="D218" s="21" t="s">
        <v>1326</v>
      </c>
      <c r="E218" s="21" t="s">
        <v>886</v>
      </c>
      <c r="F218" s="8" t="s">
        <v>1327</v>
      </c>
      <c r="G218" s="21" t="s">
        <v>1328</v>
      </c>
      <c r="H218" s="21" t="s">
        <v>503</v>
      </c>
      <c r="I218" s="21" t="s">
        <v>539</v>
      </c>
      <c r="J218" s="21" t="s">
        <v>1329</v>
      </c>
      <c r="K218" s="21" t="s">
        <v>286</v>
      </c>
      <c r="L218" s="21" t="s">
        <v>1150</v>
      </c>
      <c r="M218" s="21" t="s">
        <v>382</v>
      </c>
      <c r="N218" s="21" t="s">
        <v>21</v>
      </c>
      <c r="O218" s="21" t="s">
        <v>18</v>
      </c>
      <c r="P218" s="21" t="s">
        <v>278</v>
      </c>
    </row>
    <row r="219" spans="1:17" x14ac:dyDescent="0.3">
      <c r="A219" s="21" t="s">
        <v>1336</v>
      </c>
      <c r="B219" s="21" t="s">
        <v>468</v>
      </c>
      <c r="C219" s="21" t="s">
        <v>212</v>
      </c>
      <c r="D219" s="21" t="s">
        <v>1331</v>
      </c>
      <c r="E219" s="8" t="s">
        <v>1332</v>
      </c>
      <c r="F219" s="21" t="s">
        <v>621</v>
      </c>
      <c r="G219" s="21" t="s">
        <v>1009</v>
      </c>
      <c r="H219" s="8" t="s">
        <v>1327</v>
      </c>
      <c r="I219" s="8" t="s">
        <v>1333</v>
      </c>
      <c r="J219" s="8" t="s">
        <v>1334</v>
      </c>
      <c r="K219" s="8" t="s">
        <v>1335</v>
      </c>
      <c r="L219" s="21" t="s">
        <v>497</v>
      </c>
      <c r="M219" s="21" t="s">
        <v>382</v>
      </c>
      <c r="N219" s="21" t="s">
        <v>382</v>
      </c>
      <c r="O219" s="21" t="s">
        <v>13</v>
      </c>
      <c r="P219" s="21" t="s">
        <v>231</v>
      </c>
    </row>
    <row r="220" spans="1:17" x14ac:dyDescent="0.3">
      <c r="A220" s="21" t="s">
        <v>1338</v>
      </c>
      <c r="B220" s="21" t="s">
        <v>399</v>
      </c>
      <c r="C220" s="21" t="s">
        <v>328</v>
      </c>
      <c r="D220" s="21" t="s">
        <v>945</v>
      </c>
      <c r="E220" s="21" t="s">
        <v>849</v>
      </c>
      <c r="F220" s="21" t="s">
        <v>1337</v>
      </c>
      <c r="G220" s="21" t="s">
        <v>196</v>
      </c>
      <c r="H220" s="21" t="s">
        <v>1090</v>
      </c>
      <c r="I220" s="21" t="s">
        <v>226</v>
      </c>
      <c r="J220" s="21" t="s">
        <v>551</v>
      </c>
      <c r="K220" s="9" t="s">
        <v>1061</v>
      </c>
      <c r="L220" s="9" t="s">
        <v>716</v>
      </c>
      <c r="M220" s="21" t="s">
        <v>278</v>
      </c>
      <c r="N220" s="21" t="s">
        <v>16</v>
      </c>
      <c r="O220" s="21" t="s">
        <v>231</v>
      </c>
      <c r="P220" s="21" t="s">
        <v>230</v>
      </c>
    </row>
    <row r="221" spans="1:23" x14ac:dyDescent="0.3">
      <c r="A221" s="21" t="s">
        <v>1342</v>
      </c>
      <c r="B221" s="21" t="s">
        <v>368</v>
      </c>
      <c r="C221" s="21" t="s">
        <v>534</v>
      </c>
      <c r="D221" s="21" t="s">
        <v>1299</v>
      </c>
      <c r="E221" s="21" t="s">
        <v>396</v>
      </c>
      <c r="F221" s="21" t="s">
        <v>1339</v>
      </c>
      <c r="G221" s="21" t="s">
        <v>1340</v>
      </c>
      <c r="H221" s="21" t="s">
        <v>1341</v>
      </c>
      <c r="I221" s="21" t="s">
        <v>375</v>
      </c>
      <c r="J221" s="21" t="s">
        <v>1214</v>
      </c>
      <c r="K221" s="21" t="s">
        <v>912</v>
      </c>
      <c r="L221" s="9" t="s">
        <v>1198</v>
      </c>
      <c r="M221" s="21" t="s">
        <v>296</v>
      </c>
      <c r="N221" s="21" t="s">
        <v>735</v>
      </c>
      <c r="O221" s="21" t="s">
        <v>381</v>
      </c>
      <c r="P221" s="21" t="s">
        <v>523</v>
      </c>
      <c r="Q221" s="21" t="s">
        <v>382</v>
      </c>
      <c r="R221" s="21" t="s">
        <v>20</v>
      </c>
      <c r="S221" s="21" t="s">
        <v>21</v>
      </c>
      <c r="T221" s="21" t="s">
        <v>123</v>
      </c>
    </row>
    <row r="222" spans="1:23" x14ac:dyDescent="0.3">
      <c r="A222" s="21" t="s">
        <v>1344</v>
      </c>
      <c r="B222" s="21" t="s">
        <v>255</v>
      </c>
      <c r="C222" s="9" t="s">
        <v>1048</v>
      </c>
      <c r="D222" s="9" t="s">
        <v>909</v>
      </c>
      <c r="E222" s="9" t="s">
        <v>673</v>
      </c>
      <c r="F222" s="9" t="s">
        <v>1343</v>
      </c>
      <c r="G222" s="21" t="s">
        <v>294</v>
      </c>
      <c r="H222" s="21" t="s">
        <v>1164</v>
      </c>
      <c r="I222" s="21" t="s">
        <v>1200</v>
      </c>
      <c r="J222" s="21" t="s">
        <v>233</v>
      </c>
      <c r="K222" s="21" t="s">
        <v>889</v>
      </c>
      <c r="L222" s="9" t="s">
        <v>792</v>
      </c>
      <c r="M222" s="21" t="s">
        <v>21</v>
      </c>
      <c r="N222" s="21" t="s">
        <v>124</v>
      </c>
      <c r="O222" s="21" t="s">
        <v>19</v>
      </c>
      <c r="P222" s="21" t="s">
        <v>314</v>
      </c>
    </row>
    <row r="223" spans="1:23" x14ac:dyDescent="0.3">
      <c r="A223" s="21" t="s">
        <v>168</v>
      </c>
      <c r="B223" s="21" t="s">
        <v>854</v>
      </c>
      <c r="C223" s="21" t="s">
        <v>614</v>
      </c>
      <c r="D223" s="21" t="s">
        <v>615</v>
      </c>
      <c r="E223" s="21" t="s">
        <v>343</v>
      </c>
      <c r="F223" s="21" t="s">
        <v>1345</v>
      </c>
      <c r="G223" s="21" t="s">
        <v>1346</v>
      </c>
      <c r="H223" s="21" t="s">
        <v>1347</v>
      </c>
      <c r="I223" s="21" t="s">
        <v>838</v>
      </c>
      <c r="J223" s="21" t="s">
        <v>260</v>
      </c>
      <c r="K223" s="21" t="s">
        <v>1112</v>
      </c>
      <c r="L223" s="21" t="s">
        <v>1348</v>
      </c>
      <c r="M223" s="21" t="s">
        <v>763</v>
      </c>
      <c r="N223" s="21" t="s">
        <v>1127</v>
      </c>
      <c r="O223" s="21" t="s">
        <v>242</v>
      </c>
      <c r="P223" s="21" t="s">
        <v>374</v>
      </c>
      <c r="Q223" s="21" t="s">
        <v>924</v>
      </c>
      <c r="R223" s="21" t="s">
        <v>357</v>
      </c>
      <c r="S223" s="21" t="s">
        <v>386</v>
      </c>
      <c r="T223" s="21" t="s">
        <v>14</v>
      </c>
      <c r="U223" s="21" t="s">
        <v>124</v>
      </c>
      <c r="V223" s="21" t="s">
        <v>13</v>
      </c>
      <c r="W223" s="21" t="s">
        <v>278</v>
      </c>
    </row>
    <row r="224" spans="1:23" x14ac:dyDescent="0.3">
      <c r="A224" s="22" t="s">
        <v>1350</v>
      </c>
      <c r="B224" s="9" t="s">
        <v>1192</v>
      </c>
      <c r="C224" s="21" t="s">
        <v>609</v>
      </c>
      <c r="D224" s="9" t="s">
        <v>552</v>
      </c>
      <c r="E224" s="9" t="s">
        <v>1349</v>
      </c>
      <c r="F224" s="21" t="s">
        <v>551</v>
      </c>
      <c r="G224" s="21" t="s">
        <v>293</v>
      </c>
      <c r="H224" s="9" t="s">
        <v>876</v>
      </c>
      <c r="I224" s="9" t="s">
        <v>1224</v>
      </c>
      <c r="J224" s="9" t="s">
        <v>696</v>
      </c>
      <c r="K224" s="9" t="s">
        <v>883</v>
      </c>
      <c r="L224" s="9" t="s">
        <v>199</v>
      </c>
      <c r="M224" s="9" t="s">
        <v>245</v>
      </c>
      <c r="N224" s="9" t="s">
        <v>372</v>
      </c>
      <c r="O224" s="21" t="s">
        <v>1302</v>
      </c>
      <c r="P224" s="21" t="s">
        <v>710</v>
      </c>
      <c r="Q224" s="21" t="s">
        <v>389</v>
      </c>
      <c r="R224" s="21" t="s">
        <v>123</v>
      </c>
      <c r="S224" s="21" t="s">
        <v>14</v>
      </c>
      <c r="T224" s="21" t="s">
        <v>278</v>
      </c>
      <c r="U224" s="21" t="s">
        <v>278</v>
      </c>
    </row>
    <row r="225" spans="1:23" x14ac:dyDescent="0.3">
      <c r="A225" s="21" t="s">
        <v>1357</v>
      </c>
      <c r="B225" s="21" t="s">
        <v>1000</v>
      </c>
      <c r="C225" s="8" t="s">
        <v>1351</v>
      </c>
      <c r="D225" s="8" t="s">
        <v>1352</v>
      </c>
      <c r="E225" s="8" t="s">
        <v>1353</v>
      </c>
      <c r="F225" s="8" t="s">
        <v>1354</v>
      </c>
      <c r="G225" s="8" t="s">
        <v>1355</v>
      </c>
      <c r="H225" s="8" t="s">
        <v>1356</v>
      </c>
      <c r="I225" s="21" t="s">
        <v>496</v>
      </c>
      <c r="J225" s="21" t="s">
        <v>967</v>
      </c>
      <c r="K225" s="21" t="s">
        <v>233</v>
      </c>
      <c r="L225" s="21" t="s">
        <v>956</v>
      </c>
      <c r="M225" s="9" t="s">
        <v>847</v>
      </c>
      <c r="N225" s="21" t="s">
        <v>442</v>
      </c>
      <c r="O225" s="21" t="s">
        <v>616</v>
      </c>
      <c r="P225" s="21" t="s">
        <v>1195</v>
      </c>
      <c r="Q225" s="21" t="s">
        <v>213</v>
      </c>
      <c r="R225" s="21" t="s">
        <v>318</v>
      </c>
      <c r="S225" s="21" t="s">
        <v>278</v>
      </c>
      <c r="T225" s="21" t="s">
        <v>382</v>
      </c>
    </row>
    <row r="226" spans="1:23" x14ac:dyDescent="0.3">
      <c r="A226" s="21" t="s">
        <v>1358</v>
      </c>
      <c r="B226" s="21" t="s">
        <v>722</v>
      </c>
      <c r="C226" s="21" t="s">
        <v>308</v>
      </c>
      <c r="D226" s="21" t="s">
        <v>192</v>
      </c>
      <c r="E226" s="21" t="s">
        <v>1213</v>
      </c>
      <c r="F226" s="21" t="s">
        <v>433</v>
      </c>
      <c r="G226" s="21" t="s">
        <v>1054</v>
      </c>
      <c r="H226" s="21" t="s">
        <v>378</v>
      </c>
      <c r="I226" s="9" t="s">
        <v>900</v>
      </c>
      <c r="J226" s="21" t="s">
        <v>1044</v>
      </c>
      <c r="K226" s="21" t="s">
        <v>1045</v>
      </c>
      <c r="L226" s="21" t="s">
        <v>211</v>
      </c>
      <c r="M226" s="21" t="s">
        <v>1164</v>
      </c>
      <c r="N226" s="21" t="s">
        <v>797</v>
      </c>
      <c r="O226" s="21" t="s">
        <v>508</v>
      </c>
      <c r="P226" s="21" t="s">
        <v>790</v>
      </c>
      <c r="Q226" s="21" t="s">
        <v>221</v>
      </c>
      <c r="R226" s="21" t="s">
        <v>21</v>
      </c>
      <c r="S226" s="21" t="s">
        <v>16</v>
      </c>
      <c r="T226" s="21" t="s">
        <v>14</v>
      </c>
      <c r="U226" s="21" t="s">
        <v>278</v>
      </c>
    </row>
    <row r="227" spans="1:23" x14ac:dyDescent="0.3">
      <c r="A227" s="21" t="s">
        <v>1365</v>
      </c>
      <c r="B227" s="21" t="s">
        <v>1359</v>
      </c>
      <c r="C227" s="9" t="s">
        <v>828</v>
      </c>
      <c r="D227" s="21" t="s">
        <v>241</v>
      </c>
      <c r="E227" s="21" t="s">
        <v>930</v>
      </c>
      <c r="F227" s="21" t="s">
        <v>1360</v>
      </c>
      <c r="G227" s="21" t="s">
        <v>1361</v>
      </c>
      <c r="H227" s="21" t="s">
        <v>493</v>
      </c>
      <c r="I227" s="21" t="s">
        <v>419</v>
      </c>
      <c r="J227" s="21" t="s">
        <v>1362</v>
      </c>
      <c r="K227" s="8" t="s">
        <v>1363</v>
      </c>
      <c r="L227" s="21" t="s">
        <v>507</v>
      </c>
      <c r="M227" s="21" t="s">
        <v>593</v>
      </c>
      <c r="N227" s="21" t="s">
        <v>1364</v>
      </c>
      <c r="O227" s="21" t="s">
        <v>473</v>
      </c>
      <c r="P227" s="21" t="s">
        <v>812</v>
      </c>
      <c r="Q227" s="21" t="s">
        <v>484</v>
      </c>
      <c r="R227" s="21" t="s">
        <v>213</v>
      </c>
      <c r="S227" s="21" t="s">
        <v>213</v>
      </c>
      <c r="T227" s="21" t="s">
        <v>382</v>
      </c>
      <c r="U227" s="21" t="s">
        <v>20</v>
      </c>
    </row>
    <row r="228" spans="1:23" x14ac:dyDescent="0.3">
      <c r="A228" s="21" t="s">
        <v>1369</v>
      </c>
      <c r="B228" s="21" t="s">
        <v>226</v>
      </c>
      <c r="C228" s="21" t="s">
        <v>504</v>
      </c>
      <c r="D228" s="21" t="s">
        <v>325</v>
      </c>
      <c r="E228" s="21" t="s">
        <v>982</v>
      </c>
      <c r="F228" s="21" t="s">
        <v>1366</v>
      </c>
      <c r="G228" s="8" t="s">
        <v>1367</v>
      </c>
      <c r="H228" s="21" t="s">
        <v>837</v>
      </c>
      <c r="I228" s="8" t="s">
        <v>714</v>
      </c>
      <c r="J228" s="21" t="s">
        <v>407</v>
      </c>
      <c r="K228" s="21" t="s">
        <v>616</v>
      </c>
      <c r="L228" s="21" t="s">
        <v>1368</v>
      </c>
      <c r="M228" s="21" t="s">
        <v>382</v>
      </c>
      <c r="N228" s="21" t="s">
        <v>123</v>
      </c>
      <c r="O228" s="21" t="s">
        <v>470</v>
      </c>
      <c r="P228" s="21" t="s">
        <v>278</v>
      </c>
    </row>
    <row r="229" spans="1:23" x14ac:dyDescent="0.3">
      <c r="A229" s="21" t="s">
        <v>1372</v>
      </c>
      <c r="B229" s="21" t="s">
        <v>1189</v>
      </c>
      <c r="C229" s="21" t="s">
        <v>177</v>
      </c>
      <c r="D229" s="21" t="s">
        <v>1298</v>
      </c>
      <c r="E229" s="21" t="s">
        <v>1370</v>
      </c>
      <c r="F229" s="21" t="s">
        <v>727</v>
      </c>
      <c r="G229" s="21" t="s">
        <v>831</v>
      </c>
      <c r="H229" s="9" t="s">
        <v>1015</v>
      </c>
      <c r="I229" s="9" t="s">
        <v>1371</v>
      </c>
      <c r="J229" s="21" t="s">
        <v>19</v>
      </c>
      <c r="K229" s="21" t="s">
        <v>213</v>
      </c>
      <c r="L229" s="21" t="s">
        <v>314</v>
      </c>
      <c r="M229" s="21" t="s">
        <v>16</v>
      </c>
    </row>
    <row r="230" spans="1:23" x14ac:dyDescent="0.3">
      <c r="A230" s="22" t="s">
        <v>1377</v>
      </c>
      <c r="B230" s="9" t="s">
        <v>1373</v>
      </c>
      <c r="C230" s="9" t="s">
        <v>942</v>
      </c>
      <c r="D230" s="21" t="s">
        <v>617</v>
      </c>
      <c r="E230" s="21" t="s">
        <v>206</v>
      </c>
      <c r="F230" s="21" t="s">
        <v>1303</v>
      </c>
      <c r="G230" s="21" t="s">
        <v>1374</v>
      </c>
      <c r="H230" s="21" t="s">
        <v>813</v>
      </c>
      <c r="I230" s="21" t="s">
        <v>858</v>
      </c>
      <c r="J230" s="8" t="s">
        <v>332</v>
      </c>
      <c r="K230" s="21" t="s">
        <v>1375</v>
      </c>
      <c r="L230" s="21" t="s">
        <v>1376</v>
      </c>
      <c r="M230" s="21" t="s">
        <v>213</v>
      </c>
      <c r="N230" s="21" t="s">
        <v>382</v>
      </c>
      <c r="O230" s="21" t="s">
        <v>21</v>
      </c>
      <c r="P230" s="21" t="s">
        <v>230</v>
      </c>
    </row>
    <row r="231" spans="1:23" x14ac:dyDescent="0.3">
      <c r="A231" s="21" t="s">
        <v>1378</v>
      </c>
      <c r="B231" s="21" t="s">
        <v>912</v>
      </c>
      <c r="C231" s="21" t="s">
        <v>179</v>
      </c>
      <c r="D231" s="21" t="s">
        <v>248</v>
      </c>
      <c r="E231" s="21" t="s">
        <v>251</v>
      </c>
      <c r="F231" s="21" t="s">
        <v>251</v>
      </c>
      <c r="G231" s="21" t="s">
        <v>524</v>
      </c>
      <c r="H231" s="21" t="s">
        <v>545</v>
      </c>
      <c r="I231" s="21" t="s">
        <v>704</v>
      </c>
      <c r="J231" s="9" t="s">
        <v>630</v>
      </c>
      <c r="K231" s="9" t="s">
        <v>862</v>
      </c>
      <c r="L231" s="9" t="s">
        <v>800</v>
      </c>
      <c r="M231" s="21" t="s">
        <v>16</v>
      </c>
      <c r="N231" s="21" t="s">
        <v>231</v>
      </c>
      <c r="O231" s="21" t="s">
        <v>19</v>
      </c>
      <c r="P231" s="21" t="s">
        <v>20</v>
      </c>
    </row>
    <row r="232" spans="1:23" x14ac:dyDescent="0.3">
      <c r="A232" s="21" t="s">
        <v>1380</v>
      </c>
      <c r="B232" s="21" t="s">
        <v>670</v>
      </c>
      <c r="C232" s="21" t="s">
        <v>759</v>
      </c>
      <c r="D232" s="21" t="s">
        <v>930</v>
      </c>
      <c r="E232" s="21" t="s">
        <v>887</v>
      </c>
      <c r="F232" s="21" t="s">
        <v>1024</v>
      </c>
      <c r="G232" s="21" t="s">
        <v>260</v>
      </c>
      <c r="H232" s="21" t="s">
        <v>282</v>
      </c>
      <c r="I232" s="21" t="s">
        <v>1379</v>
      </c>
      <c r="J232" s="21" t="s">
        <v>838</v>
      </c>
      <c r="K232" s="21" t="s">
        <v>781</v>
      </c>
      <c r="L232" s="9" t="s">
        <v>209</v>
      </c>
      <c r="M232" s="21" t="s">
        <v>122</v>
      </c>
      <c r="N232" s="21" t="s">
        <v>19</v>
      </c>
      <c r="O232" s="21" t="s">
        <v>123</v>
      </c>
      <c r="P232" s="21" t="s">
        <v>20</v>
      </c>
    </row>
    <row r="233" spans="1:23" x14ac:dyDescent="0.3">
      <c r="A233" s="21" t="s">
        <v>1381</v>
      </c>
      <c r="B233" s="21" t="s">
        <v>556</v>
      </c>
      <c r="C233" s="21" t="s">
        <v>322</v>
      </c>
      <c r="D233" s="21" t="s">
        <v>476</v>
      </c>
      <c r="E233" s="21" t="s">
        <v>273</v>
      </c>
      <c r="F233" s="9" t="s">
        <v>851</v>
      </c>
      <c r="G233" s="21" t="s">
        <v>264</v>
      </c>
      <c r="H233" s="21" t="s">
        <v>894</v>
      </c>
      <c r="I233" s="21" t="s">
        <v>682</v>
      </c>
      <c r="J233" s="9" t="s">
        <v>258</v>
      </c>
      <c r="K233" s="21" t="s">
        <v>1197</v>
      </c>
      <c r="L233" s="21" t="s">
        <v>609</v>
      </c>
      <c r="M233" s="21" t="s">
        <v>16</v>
      </c>
      <c r="N233" s="21" t="s">
        <v>19</v>
      </c>
      <c r="O233" s="21" t="s">
        <v>16</v>
      </c>
      <c r="P233" s="21" t="s">
        <v>15</v>
      </c>
    </row>
  </sheetData>
  <pageMargins left="0.7" right="0.7" top="0.75" bottom="0.75" header="0.3" footer="0.3"/>
  <pageSetup orientation="portrait" verticalDpi="0" r:id="rId1"/>
  <drawing r:id="rId2"/>
  <legacyDrawing r:id="rId3"/>
  <controls>
    <mc:AlternateContent xmlns:mc="http://schemas.openxmlformats.org/markup-compatibility/2006">
      <mc:Choice Requires="x14">
        <control shapeId="2050" r:id="rId4" name="cmdDifCoupSheet">
          <controlPr defaultSize="0" autoLine="0" r:id="rId5">
            <anchor moveWithCells="1">
              <from>
                <xdr:col>1</xdr:col>
                <xdr:colOff>30480</xdr:colOff>
                <xdr:row>0</xdr:row>
                <xdr:rowOff>38100</xdr:rowOff>
              </from>
              <to>
                <xdr:col>6</xdr:col>
                <xdr:colOff>7620</xdr:colOff>
                <xdr:row>0</xdr:row>
                <xdr:rowOff>381000</xdr:rowOff>
              </to>
            </anchor>
          </controlPr>
        </control>
      </mc:Choice>
      <mc:Fallback>
        <control shapeId="2050" r:id="rId4" name="cmdDifCoupSheet"/>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C14"/>
  <sheetViews>
    <sheetView workbookViewId="0"/>
  </sheetViews>
  <sheetFormatPr defaultColWidth="9.109375" defaultRowHeight="14.4" x14ac:dyDescent="0.3"/>
  <cols>
    <col min="1" max="16384" width="9.109375" style="24"/>
  </cols>
  <sheetData>
    <row r="1" spans="1:3" x14ac:dyDescent="0.3">
      <c r="A1" s="21" t="s">
        <v>138</v>
      </c>
    </row>
    <row r="2" spans="1:3" x14ac:dyDescent="0.3">
      <c r="B2" s="24" t="s">
        <v>26</v>
      </c>
      <c r="C2" s="25" t="s">
        <v>1387</v>
      </c>
    </row>
    <row r="3" spans="1:3" x14ac:dyDescent="0.3">
      <c r="B3" s="24" t="s">
        <v>11</v>
      </c>
      <c r="C3" s="25" t="s">
        <v>1383</v>
      </c>
    </row>
    <row r="4" spans="1:3" x14ac:dyDescent="0.3">
      <c r="B4" s="24" t="s">
        <v>24</v>
      </c>
      <c r="C4" s="25" t="s">
        <v>1384</v>
      </c>
    </row>
    <row r="5" spans="1:3" x14ac:dyDescent="0.3">
      <c r="B5" s="24" t="s">
        <v>58</v>
      </c>
      <c r="C5" s="25" t="s">
        <v>1385</v>
      </c>
    </row>
    <row r="6" spans="1:3" x14ac:dyDescent="0.3">
      <c r="B6" s="7" t="s">
        <v>60</v>
      </c>
      <c r="C6" s="25" t="s">
        <v>1382</v>
      </c>
    </row>
    <row r="7" spans="1:3" x14ac:dyDescent="0.3">
      <c r="B7" s="7" t="s">
        <v>9</v>
      </c>
      <c r="C7" s="25" t="s">
        <v>1388</v>
      </c>
    </row>
    <row r="8" spans="1:3" x14ac:dyDescent="0.3">
      <c r="B8" s="24" t="s">
        <v>9</v>
      </c>
      <c r="C8" s="25" t="s">
        <v>1386</v>
      </c>
    </row>
    <row r="9" spans="1:3" x14ac:dyDescent="0.3">
      <c r="B9" s="24" t="s">
        <v>27</v>
      </c>
      <c r="C9" s="25" t="s">
        <v>1389</v>
      </c>
    </row>
    <row r="10" spans="1:3" x14ac:dyDescent="0.3">
      <c r="B10" s="24" t="s">
        <v>27</v>
      </c>
      <c r="C10" s="25" t="s">
        <v>1390</v>
      </c>
    </row>
    <row r="11" spans="1:3" x14ac:dyDescent="0.3">
      <c r="B11" s="24" t="s">
        <v>10</v>
      </c>
      <c r="C11" s="25">
        <v>0.88</v>
      </c>
    </row>
    <row r="12" spans="1:3" x14ac:dyDescent="0.3">
      <c r="A12" s="21"/>
      <c r="B12" s="24" t="s">
        <v>12</v>
      </c>
      <c r="C12" s="24">
        <v>0.88</v>
      </c>
    </row>
    <row r="13" spans="1:3" x14ac:dyDescent="0.3">
      <c r="B13" s="24" t="s">
        <v>27</v>
      </c>
      <c r="C13" s="24">
        <v>0.88</v>
      </c>
    </row>
    <row r="14" spans="1:3" x14ac:dyDescent="0.3">
      <c r="B14" s="24" t="s">
        <v>26</v>
      </c>
      <c r="C14" s="24">
        <v>0.88</v>
      </c>
    </row>
  </sheetData>
  <phoneticPr fontId="12" type="noConversion"/>
  <pageMargins left="0.7" right="0.7" top="0.75" bottom="0.75" header="0.3" footer="0.3"/>
  <drawing r:id="rId1"/>
  <legacyDrawing r:id="rId2"/>
  <controls>
    <mc:AlternateContent xmlns:mc="http://schemas.openxmlformats.org/markup-compatibility/2006">
      <mc:Choice Requires="x14">
        <control shapeId="3073" r:id="rId3" name="cmdPredictDiffInd">
          <controlPr defaultSize="0" autoLine="0" autoPict="0" r:id="rId4">
            <anchor moveWithCells="1">
              <from>
                <xdr:col>4</xdr:col>
                <xdr:colOff>30480</xdr:colOff>
                <xdr:row>0</xdr:row>
                <xdr:rowOff>30480</xdr:rowOff>
              </from>
              <to>
                <xdr:col>7</xdr:col>
                <xdr:colOff>464820</xdr:colOff>
                <xdr:row>1</xdr:row>
                <xdr:rowOff>182880</xdr:rowOff>
              </to>
            </anchor>
          </controlPr>
        </control>
      </mc:Choice>
      <mc:Fallback>
        <control shapeId="3073" r:id="rId3" name="cmdPredictDiffInd"/>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AD2E7-31FA-4576-83D1-3EB26B58D8CC}">
  <sheetPr codeName="Sheet6"/>
  <dimension ref="A1:I16"/>
  <sheetViews>
    <sheetView workbookViewId="0"/>
  </sheetViews>
  <sheetFormatPr defaultColWidth="9.109375" defaultRowHeight="14.4" x14ac:dyDescent="0.3"/>
  <cols>
    <col min="1" max="1" width="94.88671875" customWidth="1"/>
  </cols>
  <sheetData>
    <row r="1" spans="1:9" ht="18" x14ac:dyDescent="0.35">
      <c r="A1" s="5" t="s">
        <v>80</v>
      </c>
    </row>
    <row r="2" spans="1:9" x14ac:dyDescent="0.3">
      <c r="A2" s="2" t="s">
        <v>81</v>
      </c>
    </row>
    <row r="4" spans="1:9" ht="28.8" x14ac:dyDescent="0.3">
      <c r="A4" s="2" t="s">
        <v>6</v>
      </c>
    </row>
    <row r="5" spans="1:9" x14ac:dyDescent="0.3">
      <c r="A5" s="2"/>
    </row>
    <row r="6" spans="1:9" ht="43.2" x14ac:dyDescent="0.3">
      <c r="A6" s="13" t="s">
        <v>85</v>
      </c>
    </row>
    <row r="7" spans="1:9" ht="43.2" x14ac:dyDescent="0.3">
      <c r="A7" s="2" t="s">
        <v>84</v>
      </c>
    </row>
    <row r="9" spans="1:9" ht="72" x14ac:dyDescent="0.3">
      <c r="A9" s="2" t="s">
        <v>89</v>
      </c>
      <c r="B9" s="2"/>
      <c r="C9" s="2"/>
      <c r="D9" s="2"/>
      <c r="E9" s="2"/>
      <c r="F9" s="2"/>
      <c r="G9" s="2"/>
      <c r="H9" s="2"/>
      <c r="I9" s="2"/>
    </row>
    <row r="11" spans="1:9" ht="28.8" x14ac:dyDescent="0.3">
      <c r="A11" s="2" t="s">
        <v>86</v>
      </c>
    </row>
    <row r="13" spans="1:9" ht="43.2" x14ac:dyDescent="0.3">
      <c r="A13" s="2" t="s">
        <v>83</v>
      </c>
    </row>
    <row r="15" spans="1:9" ht="15.6" x14ac:dyDescent="0.3">
      <c r="A15" s="4"/>
    </row>
    <row r="16" spans="1:9" x14ac:dyDescent="0.3">
      <c r="A16" s="3"/>
    </row>
  </sheetData>
  <sheetProtection algorithmName="SHA-512" hashValue="LSDJBni+KWMD2rSxPJ9Qxk/wer9Q4JcBavCoHzCleXq5V8jyCz8AhjQltHUgBaNU2YISaaVVnQYQ5fEDZlXgOw==" saltValue="bF78lBLA0qrUxYsA6lQO7Q==" spinCount="100000" sheet="1" objects="1" scenarios="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K15"/>
  <sheetViews>
    <sheetView workbookViewId="0">
      <selection activeCell="A2" sqref="A2"/>
    </sheetView>
  </sheetViews>
  <sheetFormatPr defaultColWidth="9.109375" defaultRowHeight="14.4" x14ac:dyDescent="0.3"/>
  <cols>
    <col min="1" max="1" width="94.88671875" customWidth="1"/>
  </cols>
  <sheetData>
    <row r="1" spans="1:11" ht="18" x14ac:dyDescent="0.35">
      <c r="A1" s="5" t="s">
        <v>1</v>
      </c>
    </row>
    <row r="2" spans="1:11" x14ac:dyDescent="0.3">
      <c r="A2" s="2" t="s">
        <v>5</v>
      </c>
    </row>
    <row r="4" spans="1:11" ht="28.8" x14ac:dyDescent="0.3">
      <c r="A4" s="2" t="s">
        <v>6</v>
      </c>
    </row>
    <row r="6" spans="1:11" ht="43.2" x14ac:dyDescent="0.3">
      <c r="A6" s="2" t="s">
        <v>7</v>
      </c>
    </row>
    <row r="8" spans="1:11" ht="43.2" x14ac:dyDescent="0.3">
      <c r="A8" s="2" t="s">
        <v>82</v>
      </c>
    </row>
    <row r="10" spans="1:11" ht="57.6" x14ac:dyDescent="0.3">
      <c r="A10" s="2" t="s">
        <v>2</v>
      </c>
      <c r="B10" s="2"/>
      <c r="C10" s="2"/>
      <c r="D10" s="2"/>
      <c r="E10" s="2"/>
      <c r="F10" s="2"/>
      <c r="G10" s="2"/>
      <c r="H10" s="2"/>
      <c r="I10" s="2"/>
      <c r="J10" s="2"/>
      <c r="K10" s="2"/>
    </row>
    <row r="12" spans="1:11" x14ac:dyDescent="0.3">
      <c r="A12" t="s">
        <v>3</v>
      </c>
    </row>
    <row r="14" spans="1:11" ht="405.6" x14ac:dyDescent="0.3">
      <c r="A14" s="4" t="s">
        <v>4</v>
      </c>
    </row>
    <row r="15" spans="1:11" x14ac:dyDescent="0.3">
      <c r="A15" s="3"/>
    </row>
  </sheetData>
  <sheetProtection algorithmName="SHA-512" hashValue="B9kofpMfphgAjJiuiMLjCAW/wMXzN9V6sLH9HyC4pWnFeodfdNXmMc8UzT72rcEMeK5Bd7MOebYR6j1KBOvcyA==" saltValue="xsToICpZ/jnY2gF9kyBuWA==" spinCount="100000" sheet="1" objects="1" scenarios="1"/>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37AC9-7EB7-4CA2-B540-5865CD214906}">
  <sheetPr codeName="Sheet5"/>
  <dimension ref="A1:K27"/>
  <sheetViews>
    <sheetView workbookViewId="0"/>
  </sheetViews>
  <sheetFormatPr defaultRowHeight="14.4" x14ac:dyDescent="0.3"/>
  <sheetData>
    <row r="1" spans="1:11" x14ac:dyDescent="0.3">
      <c r="B1" s="10"/>
      <c r="C1" s="17" t="s">
        <v>32</v>
      </c>
      <c r="D1" s="17" t="s">
        <v>33</v>
      </c>
      <c r="E1" s="17" t="s">
        <v>34</v>
      </c>
      <c r="F1" s="17" t="s">
        <v>35</v>
      </c>
      <c r="G1" s="17" t="s">
        <v>36</v>
      </c>
      <c r="H1" s="12"/>
      <c r="I1" s="12"/>
      <c r="J1" s="12" t="s">
        <v>37</v>
      </c>
      <c r="K1" s="12" t="s">
        <v>38</v>
      </c>
    </row>
    <row r="2" spans="1:11" x14ac:dyDescent="0.3">
      <c r="A2" s="12" t="s">
        <v>8</v>
      </c>
      <c r="B2" s="12" t="s">
        <v>39</v>
      </c>
      <c r="C2" s="17">
        <v>5</v>
      </c>
      <c r="D2" s="17">
        <v>3</v>
      </c>
      <c r="E2" s="17">
        <v>3.4</v>
      </c>
      <c r="F2" s="17">
        <v>1.5</v>
      </c>
      <c r="G2" s="17">
        <v>2.8</v>
      </c>
      <c r="H2" s="12"/>
      <c r="I2" s="12" t="s">
        <v>8</v>
      </c>
      <c r="J2" s="12">
        <v>0.5</v>
      </c>
      <c r="K2" s="12">
        <v>-0.1</v>
      </c>
    </row>
    <row r="3" spans="1:11" x14ac:dyDescent="0.3">
      <c r="A3" s="12" t="s">
        <v>40</v>
      </c>
      <c r="B3" s="12" t="s">
        <v>41</v>
      </c>
      <c r="C3" s="17">
        <v>10.8</v>
      </c>
      <c r="D3" s="17">
        <v>8.6</v>
      </c>
      <c r="E3" s="17">
        <v>8.1</v>
      </c>
      <c r="F3" s="17">
        <v>4.3</v>
      </c>
      <c r="G3" s="17">
        <v>6</v>
      </c>
      <c r="H3" s="12"/>
      <c r="I3" s="12" t="s">
        <v>40</v>
      </c>
      <c r="J3" s="12">
        <v>-6.8</v>
      </c>
      <c r="K3" s="12">
        <v>-2.2000000000000002</v>
      </c>
    </row>
    <row r="4" spans="1:11" x14ac:dyDescent="0.3">
      <c r="A4" s="12" t="s">
        <v>10</v>
      </c>
      <c r="B4" s="12" t="s">
        <v>42</v>
      </c>
      <c r="C4" s="17">
        <v>1.4</v>
      </c>
      <c r="D4" s="17">
        <v>1.9</v>
      </c>
      <c r="E4" s="17">
        <v>1.7</v>
      </c>
      <c r="F4" s="17">
        <v>1.4</v>
      </c>
      <c r="G4" s="17">
        <v>1.5</v>
      </c>
      <c r="H4" s="12"/>
      <c r="I4" s="12" t="s">
        <v>10</v>
      </c>
      <c r="J4" s="12">
        <v>-8.1999999999999993</v>
      </c>
      <c r="K4" s="12">
        <v>-2.8</v>
      </c>
    </row>
    <row r="5" spans="1:11" x14ac:dyDescent="0.3">
      <c r="A5" s="12" t="s">
        <v>24</v>
      </c>
      <c r="B5" s="12" t="s">
        <v>43</v>
      </c>
      <c r="C5" s="17">
        <v>2.1</v>
      </c>
      <c r="D5" s="17">
        <v>3.8</v>
      </c>
      <c r="E5" s="17">
        <v>3.1</v>
      </c>
      <c r="F5" s="17">
        <v>1.4</v>
      </c>
      <c r="G5" s="17">
        <v>2.2999999999999998</v>
      </c>
      <c r="H5" s="12"/>
      <c r="I5" s="12" t="s">
        <v>24</v>
      </c>
      <c r="J5" s="12">
        <v>-16.899999999999999</v>
      </c>
      <c r="K5" s="12">
        <v>-7.5</v>
      </c>
    </row>
    <row r="6" spans="1:11" x14ac:dyDescent="0.3">
      <c r="A6" s="12" t="s">
        <v>26</v>
      </c>
      <c r="B6" s="12" t="s">
        <v>44</v>
      </c>
      <c r="C6" s="17">
        <v>37</v>
      </c>
      <c r="D6" s="17">
        <v>32.9</v>
      </c>
      <c r="E6" s="17">
        <v>29.6</v>
      </c>
      <c r="F6" s="17">
        <v>22.3</v>
      </c>
      <c r="G6" s="17">
        <v>20.6</v>
      </c>
      <c r="H6" s="12"/>
      <c r="I6" s="12" t="s">
        <v>26</v>
      </c>
      <c r="J6" s="12">
        <v>13.2</v>
      </c>
      <c r="K6" s="12">
        <v>13.9</v>
      </c>
    </row>
    <row r="7" spans="1:11" x14ac:dyDescent="0.3">
      <c r="A7" s="12" t="s">
        <v>45</v>
      </c>
      <c r="B7" s="12" t="s">
        <v>46</v>
      </c>
      <c r="C7" s="17">
        <v>0</v>
      </c>
      <c r="D7" s="17">
        <v>0</v>
      </c>
      <c r="E7" s="17">
        <v>0</v>
      </c>
      <c r="F7" s="17">
        <v>0</v>
      </c>
      <c r="G7" s="17">
        <v>0</v>
      </c>
      <c r="H7" s="12"/>
      <c r="I7" s="12" t="s">
        <v>45</v>
      </c>
      <c r="J7" s="12">
        <v>0</v>
      </c>
      <c r="K7" s="12">
        <v>-0.5</v>
      </c>
    </row>
    <row r="8" spans="1:11" x14ac:dyDescent="0.3">
      <c r="A8" s="12" t="s">
        <v>30</v>
      </c>
      <c r="B8" s="12" t="s">
        <v>47</v>
      </c>
      <c r="C8" s="17">
        <v>0</v>
      </c>
      <c r="D8" s="17">
        <v>1.2</v>
      </c>
      <c r="E8" s="17">
        <v>0</v>
      </c>
      <c r="F8" s="17">
        <v>1.4</v>
      </c>
      <c r="G8" s="17" t="s">
        <v>48</v>
      </c>
      <c r="H8" s="12"/>
      <c r="I8" s="12" t="s">
        <v>30</v>
      </c>
      <c r="J8" s="12">
        <v>-3.5</v>
      </c>
      <c r="K8" s="12">
        <v>0.8</v>
      </c>
    </row>
    <row r="9" spans="1:11" x14ac:dyDescent="0.3">
      <c r="A9" s="12" t="s">
        <v>9</v>
      </c>
      <c r="B9" s="12" t="s">
        <v>49</v>
      </c>
      <c r="C9" s="17">
        <v>30.5</v>
      </c>
      <c r="D9" s="17">
        <v>25.2</v>
      </c>
      <c r="E9" s="17">
        <v>21.8</v>
      </c>
      <c r="F9" s="17">
        <v>14.2</v>
      </c>
      <c r="G9" s="17">
        <v>15.3</v>
      </c>
      <c r="H9" s="12"/>
      <c r="I9" s="12" t="s">
        <v>9</v>
      </c>
      <c r="J9" s="12">
        <v>13.9</v>
      </c>
      <c r="K9" s="12">
        <v>11.8</v>
      </c>
    </row>
    <row r="10" spans="1:11" x14ac:dyDescent="0.3">
      <c r="A10" s="12" t="s">
        <v>28</v>
      </c>
      <c r="B10" s="12" t="s">
        <v>50</v>
      </c>
      <c r="C10" s="17" t="s">
        <v>51</v>
      </c>
      <c r="D10" s="17">
        <v>0</v>
      </c>
      <c r="E10" s="17" t="s">
        <v>52</v>
      </c>
      <c r="F10" s="17">
        <v>1.3</v>
      </c>
      <c r="G10" s="17" t="s">
        <v>53</v>
      </c>
      <c r="H10" s="12"/>
      <c r="I10" s="12" t="s">
        <v>28</v>
      </c>
      <c r="J10" s="12">
        <v>0.1</v>
      </c>
      <c r="K10" s="12">
        <v>-3.2</v>
      </c>
    </row>
    <row r="11" spans="1:11" x14ac:dyDescent="0.3">
      <c r="A11" s="12" t="s">
        <v>29</v>
      </c>
      <c r="B11" s="12" t="s">
        <v>54</v>
      </c>
      <c r="C11" s="17">
        <v>32.200000000000003</v>
      </c>
      <c r="D11" s="17">
        <v>26</v>
      </c>
      <c r="E11" s="17">
        <v>23.7</v>
      </c>
      <c r="F11" s="17">
        <v>15.8</v>
      </c>
      <c r="G11" s="17">
        <v>16.8</v>
      </c>
      <c r="H11" s="12"/>
      <c r="I11" s="12" t="s">
        <v>29</v>
      </c>
      <c r="J11" s="12">
        <v>8.8000000000000007</v>
      </c>
      <c r="K11" s="12">
        <v>10</v>
      </c>
    </row>
    <row r="12" spans="1:11" x14ac:dyDescent="0.3">
      <c r="A12" s="12" t="s">
        <v>31</v>
      </c>
      <c r="B12" s="12" t="s">
        <v>55</v>
      </c>
      <c r="C12" s="17">
        <v>21.2</v>
      </c>
      <c r="D12" s="17">
        <v>18</v>
      </c>
      <c r="E12" s="17">
        <v>16.5</v>
      </c>
      <c r="F12" s="17">
        <v>11.8</v>
      </c>
      <c r="G12" s="17">
        <v>11.2</v>
      </c>
      <c r="H12" s="12"/>
      <c r="I12" s="12" t="s">
        <v>31</v>
      </c>
      <c r="J12" s="12">
        <v>4.8</v>
      </c>
      <c r="K12" s="12">
        <v>7.1</v>
      </c>
    </row>
    <row r="13" spans="1:11" x14ac:dyDescent="0.3">
      <c r="A13" s="12" t="s">
        <v>12</v>
      </c>
      <c r="B13" s="12" t="s">
        <v>56</v>
      </c>
      <c r="C13" s="17" t="s">
        <v>53</v>
      </c>
      <c r="D13" s="17">
        <v>0</v>
      </c>
      <c r="E13" s="17" t="s">
        <v>57</v>
      </c>
      <c r="F13" s="17">
        <v>0</v>
      </c>
      <c r="G13" s="17" t="s">
        <v>57</v>
      </c>
      <c r="H13" s="12"/>
      <c r="I13" s="12" t="s">
        <v>12</v>
      </c>
      <c r="J13" s="12">
        <v>0.8</v>
      </c>
      <c r="K13" s="12">
        <v>-1.6</v>
      </c>
    </row>
    <row r="14" spans="1:11" x14ac:dyDescent="0.3">
      <c r="A14" s="12" t="s">
        <v>58</v>
      </c>
      <c r="B14" s="12" t="s">
        <v>59</v>
      </c>
      <c r="C14" s="17">
        <v>12.2</v>
      </c>
      <c r="D14" s="17">
        <v>7.5</v>
      </c>
      <c r="E14" s="17">
        <v>10.199999999999999</v>
      </c>
      <c r="F14" s="17">
        <v>4.5</v>
      </c>
      <c r="G14" s="17">
        <v>3.6</v>
      </c>
      <c r="H14" s="12"/>
      <c r="I14" s="12" t="s">
        <v>58</v>
      </c>
      <c r="J14" s="12">
        <v>6.1</v>
      </c>
      <c r="K14" s="12">
        <v>8</v>
      </c>
    </row>
    <row r="15" spans="1:11" x14ac:dyDescent="0.3">
      <c r="A15" s="12" t="s">
        <v>60</v>
      </c>
      <c r="B15" s="12" t="s">
        <v>61</v>
      </c>
      <c r="C15" s="17">
        <v>0</v>
      </c>
      <c r="D15" s="17">
        <v>1.6</v>
      </c>
      <c r="E15" s="17">
        <v>0.7</v>
      </c>
      <c r="F15" s="17">
        <v>1.4</v>
      </c>
      <c r="G15" s="17">
        <v>0.8</v>
      </c>
      <c r="H15" s="12"/>
      <c r="I15" s="12" t="s">
        <v>60</v>
      </c>
      <c r="J15" s="12">
        <v>-4.8</v>
      </c>
      <c r="K15" s="12">
        <v>-2.5</v>
      </c>
    </row>
    <row r="16" spans="1:11" x14ac:dyDescent="0.3">
      <c r="A16" s="12" t="s">
        <v>25</v>
      </c>
      <c r="B16" s="12" t="s">
        <v>62</v>
      </c>
      <c r="C16" s="17">
        <v>2.5</v>
      </c>
      <c r="D16" s="17">
        <v>3.7</v>
      </c>
      <c r="E16" s="17">
        <v>2.4</v>
      </c>
      <c r="F16" s="17">
        <v>3</v>
      </c>
      <c r="G16" s="17" t="s">
        <v>63</v>
      </c>
      <c r="H16" s="12"/>
      <c r="I16" s="12" t="s">
        <v>25</v>
      </c>
      <c r="J16" s="12">
        <v>0.8</v>
      </c>
      <c r="K16" s="12">
        <v>-4.5</v>
      </c>
    </row>
    <row r="17" spans="1:11" x14ac:dyDescent="0.3">
      <c r="A17" s="12" t="s">
        <v>23</v>
      </c>
      <c r="B17" s="12" t="s">
        <v>64</v>
      </c>
      <c r="C17" s="17" t="s">
        <v>65</v>
      </c>
      <c r="D17" s="17">
        <v>0</v>
      </c>
      <c r="E17" s="17">
        <v>0</v>
      </c>
      <c r="F17" s="17">
        <v>0</v>
      </c>
      <c r="G17" s="17">
        <v>0.6</v>
      </c>
      <c r="H17" s="12"/>
      <c r="I17" s="12" t="s">
        <v>23</v>
      </c>
      <c r="J17" s="12">
        <v>1.2</v>
      </c>
      <c r="K17" s="12">
        <v>-3.7</v>
      </c>
    </row>
    <row r="18" spans="1:11" x14ac:dyDescent="0.3">
      <c r="A18" s="12" t="s">
        <v>27</v>
      </c>
      <c r="B18" s="12" t="s">
        <v>66</v>
      </c>
      <c r="C18" s="17">
        <v>3.6</v>
      </c>
      <c r="D18" s="17">
        <v>3.3</v>
      </c>
      <c r="E18" s="17">
        <v>2.8</v>
      </c>
      <c r="F18" s="17">
        <v>1.9</v>
      </c>
      <c r="G18" s="17">
        <v>1.5</v>
      </c>
      <c r="H18" s="12"/>
      <c r="I18" s="12" t="s">
        <v>27</v>
      </c>
      <c r="J18" s="12">
        <v>2.7</v>
      </c>
      <c r="K18" s="12">
        <v>1.5</v>
      </c>
    </row>
    <row r="19" spans="1:11" x14ac:dyDescent="0.3">
      <c r="A19" s="12" t="s">
        <v>67</v>
      </c>
      <c r="B19" s="12" t="s">
        <v>68</v>
      </c>
      <c r="C19" s="17">
        <v>20</v>
      </c>
      <c r="D19" s="17">
        <v>15.4</v>
      </c>
      <c r="E19" s="17">
        <v>13.8</v>
      </c>
      <c r="F19" s="17">
        <v>8.1</v>
      </c>
      <c r="G19" s="17">
        <v>8.6</v>
      </c>
      <c r="H19" s="12"/>
      <c r="I19" s="12" t="s">
        <v>67</v>
      </c>
      <c r="J19" s="12">
        <v>2.7</v>
      </c>
      <c r="K19" s="12">
        <v>3.3</v>
      </c>
    </row>
    <row r="20" spans="1:11" x14ac:dyDescent="0.3">
      <c r="A20" s="12" t="s">
        <v>69</v>
      </c>
      <c r="B20" s="12" t="s">
        <v>70</v>
      </c>
      <c r="C20" s="17">
        <v>40</v>
      </c>
      <c r="D20" s="17">
        <v>36.5</v>
      </c>
      <c r="E20" s="17">
        <v>33.200000000000003</v>
      </c>
      <c r="F20" s="17">
        <v>27.9</v>
      </c>
      <c r="G20" s="17">
        <v>22.9</v>
      </c>
      <c r="H20" s="12"/>
      <c r="I20" s="12" t="s">
        <v>69</v>
      </c>
      <c r="J20" s="12">
        <v>14.9</v>
      </c>
      <c r="K20" s="12">
        <v>18.100000000000001</v>
      </c>
    </row>
    <row r="21" spans="1:11" x14ac:dyDescent="0.3">
      <c r="A21" s="12" t="s">
        <v>11</v>
      </c>
      <c r="B21" s="12" t="s">
        <v>71</v>
      </c>
      <c r="C21" s="17">
        <v>18.899999999999999</v>
      </c>
      <c r="D21" s="17">
        <v>16.399999999999999</v>
      </c>
      <c r="E21" s="17">
        <v>15.6</v>
      </c>
      <c r="F21" s="17">
        <v>12.8</v>
      </c>
      <c r="G21" s="17">
        <v>8.1999999999999993</v>
      </c>
      <c r="H21" s="12"/>
      <c r="I21" s="12" t="s">
        <v>11</v>
      </c>
      <c r="J21" s="12">
        <v>6.1</v>
      </c>
      <c r="K21" s="12">
        <v>8.1999999999999993</v>
      </c>
    </row>
    <row r="22" spans="1:11" x14ac:dyDescent="0.3">
      <c r="A22" s="10" t="s">
        <v>137</v>
      </c>
      <c r="B22" s="12"/>
      <c r="C22" s="17"/>
      <c r="D22" s="17"/>
      <c r="E22" s="17"/>
      <c r="F22" s="17"/>
      <c r="G22" s="17"/>
      <c r="H22" s="12"/>
      <c r="I22" s="12" t="s">
        <v>72</v>
      </c>
      <c r="J22" s="12">
        <v>2.4</v>
      </c>
      <c r="K22" s="12">
        <v>-0.4</v>
      </c>
    </row>
    <row r="23" spans="1:11" x14ac:dyDescent="0.3">
      <c r="A23" s="12"/>
      <c r="B23" s="12"/>
      <c r="C23" s="17"/>
      <c r="D23" s="17"/>
      <c r="E23" s="17"/>
      <c r="F23" s="17"/>
      <c r="G23" s="17"/>
      <c r="H23" s="12"/>
      <c r="I23" s="12" t="s">
        <v>73</v>
      </c>
      <c r="J23" s="12">
        <v>-3</v>
      </c>
      <c r="K23" s="12">
        <v>6.9</v>
      </c>
    </row>
    <row r="24" spans="1:11" x14ac:dyDescent="0.3">
      <c r="A24" s="12"/>
      <c r="B24" s="12"/>
      <c r="C24" s="17"/>
      <c r="D24" s="17"/>
      <c r="E24" s="17"/>
      <c r="F24" s="17"/>
      <c r="G24" s="17"/>
      <c r="H24" s="12"/>
      <c r="I24" s="12" t="s">
        <v>74</v>
      </c>
      <c r="J24" s="12">
        <v>7.8</v>
      </c>
      <c r="K24" s="12">
        <v>5</v>
      </c>
    </row>
    <row r="25" spans="1:11" x14ac:dyDescent="0.3">
      <c r="A25" s="12"/>
      <c r="B25" s="12"/>
      <c r="C25" s="17"/>
      <c r="D25" s="17"/>
      <c r="E25" s="17"/>
      <c r="F25" s="17"/>
      <c r="G25" s="17"/>
      <c r="H25" s="12"/>
      <c r="I25" s="12" t="s">
        <v>75</v>
      </c>
      <c r="J25" s="12">
        <v>5.6</v>
      </c>
      <c r="K25" s="12">
        <v>3.9</v>
      </c>
    </row>
    <row r="26" spans="1:11" x14ac:dyDescent="0.3">
      <c r="A26" s="12"/>
      <c r="B26" s="12"/>
      <c r="C26" s="17"/>
      <c r="D26" s="17"/>
      <c r="E26" s="17"/>
      <c r="F26" s="17"/>
      <c r="G26" s="17"/>
      <c r="H26" s="12"/>
      <c r="I26" s="12" t="s">
        <v>76</v>
      </c>
      <c r="J26" s="12">
        <v>10.9</v>
      </c>
      <c r="K26" s="12">
        <v>6.5</v>
      </c>
    </row>
    <row r="27" spans="1:11" x14ac:dyDescent="0.3">
      <c r="A27" s="12"/>
      <c r="B27" s="12"/>
      <c r="C27" s="17"/>
      <c r="D27" s="17"/>
      <c r="E27" s="17"/>
      <c r="F27" s="17"/>
      <c r="G27" s="17"/>
      <c r="H27" s="12"/>
      <c r="I27" s="12" t="s">
        <v>77</v>
      </c>
      <c r="J27" s="12">
        <v>-1.1000000000000001</v>
      </c>
      <c r="K27" s="12">
        <v>-2.8</v>
      </c>
    </row>
  </sheetData>
  <sheetProtection algorithmName="SHA-512" hashValue="BNGUKZv9Dh48wdJglLRT6+r1GSnz+s9Xk+ARCXm2YJ8/7r2YS4T19P6Xm5QicjP7jXmkMfSOOdqUkUImgA7EeQ==" saltValue="QokgVmi4lWeACBklrEz5kQ==" spinCount="100000" sheet="1" objects="1" scenarios="1" selectLockedCells="1" selectUnlockedCells="1"/>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vt:lpstr>
      <vt:lpstr>HPLC Prediction</vt:lpstr>
      <vt:lpstr>Molecular Weights</vt:lpstr>
      <vt:lpstr>Difficulty (Sheet)</vt:lpstr>
      <vt:lpstr>Difficulty (Detail)</vt:lpstr>
      <vt:lpstr>HPLC Instructions</vt:lpstr>
      <vt:lpstr>Difficult Coupling Instructions</vt:lpstr>
      <vt:lpstr>Parameters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Michal</dc:creator>
  <cp:lastModifiedBy>Tin Brletić</cp:lastModifiedBy>
  <dcterms:created xsi:type="dcterms:W3CDTF">2012-11-06T18:50:27Z</dcterms:created>
  <dcterms:modified xsi:type="dcterms:W3CDTF">2026-07-16T04:31:29Z</dcterms:modified>
</cp:coreProperties>
</file>